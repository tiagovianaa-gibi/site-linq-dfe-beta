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coimb\Desktop\BK\1 - Projetos Márcio\XXV Circuito de Quadrilhas Juninas do DF e Entorno\Grupo de Acesso\"/>
    </mc:Choice>
  </mc:AlternateContent>
  <xr:revisionPtr revIDLastSave="0" documentId="13_ncr:1_{18CF2DFA-3FC6-495B-B2DF-B47C795332A9}" xr6:coauthVersionLast="47" xr6:coauthVersionMax="47" xr10:uidLastSave="{00000000-0000-0000-0000-000000000000}"/>
  <bookViews>
    <workbookView xWindow="-108" yWindow="-108" windowWidth="23256" windowHeight="12456" tabRatio="842" activeTab="3" xr2:uid="{00000000-000D-0000-FFFF-FFFF00000000}"/>
  </bookViews>
  <sheets>
    <sheet name="1ª ETAPA" sheetId="3" r:id="rId1"/>
    <sheet name="2ª ETAPA" sheetId="16" r:id="rId2"/>
    <sheet name="3ª ETAPA" sheetId="17" r:id="rId3"/>
    <sheet name="RESULTADO FINAL" sheetId="9" r:id="rId4"/>
    <sheet name="COREOGRAFIA" sheetId="10" r:id="rId5"/>
    <sheet name="MARCAÇÃO" sheetId="11" r:id="rId6"/>
    <sheet name="ANIMAÇÃO" sheetId="12" r:id="rId7"/>
    <sheet name="FIGURINO" sheetId="13" r:id="rId8"/>
    <sheet name="CASAL DE NOIVOS" sheetId="14" r:id="rId9"/>
    <sheet name="TRILHA" sheetId="15" r:id="rId10"/>
  </sheets>
  <definedNames>
    <definedName name="_xlnm._FilterDatabase" localSheetId="6" hidden="1">ANIMAÇÃO!$B$1:$F$11</definedName>
    <definedName name="_xlnm._FilterDatabase" localSheetId="8" hidden="1">'CASAL DE NOIVOS'!$B$2:$F$11</definedName>
    <definedName name="_xlnm._FilterDatabase" localSheetId="4" hidden="1">COREOGRAFIA!$B$1:$F$11</definedName>
    <definedName name="_xlnm._FilterDatabase" localSheetId="7" hidden="1">FIGURINO!$B$1:$F$11</definedName>
    <definedName name="_xlnm._FilterDatabase" localSheetId="5" hidden="1">MARCAÇÃO!$B$1:$F$11</definedName>
    <definedName name="_xlnm._FilterDatabase" localSheetId="3" hidden="1">'RESULTADO FINAL'!$B$3:$F$13</definedName>
    <definedName name="_xlnm._FilterDatabase" localSheetId="9" hidden="1">TRILHA!$B$1:$F$11</definedName>
  </definedNames>
  <calcPr calcId="191029"/>
</workbook>
</file>

<file path=xl/calcChain.xml><?xml version="1.0" encoding="utf-8"?>
<calcChain xmlns="http://schemas.openxmlformats.org/spreadsheetml/2006/main">
  <c r="F8" i="9" l="1"/>
  <c r="F13" i="9"/>
  <c r="F4" i="9"/>
  <c r="F9" i="9"/>
  <c r="F7" i="9"/>
  <c r="F11" i="9"/>
  <c r="F12" i="9"/>
  <c r="F10" i="9"/>
  <c r="F6" i="9"/>
  <c r="F5" i="9"/>
  <c r="H34" i="17"/>
  <c r="Z29" i="17"/>
  <c r="Y29" i="17"/>
  <c r="Q29" i="17"/>
  <c r="P29" i="17"/>
  <c r="H29" i="17"/>
  <c r="G29" i="17"/>
  <c r="Z28" i="17"/>
  <c r="Y28" i="17"/>
  <c r="Q28" i="17"/>
  <c r="P28" i="17"/>
  <c r="H28" i="17"/>
  <c r="G28" i="17"/>
  <c r="Z27" i="17"/>
  <c r="Y27" i="17"/>
  <c r="Q27" i="17"/>
  <c r="P27" i="17"/>
  <c r="H27" i="17"/>
  <c r="G27" i="17"/>
  <c r="Z26" i="17"/>
  <c r="Y26" i="17"/>
  <c r="Q26" i="17"/>
  <c r="P26" i="17"/>
  <c r="H26" i="17"/>
  <c r="G26" i="17"/>
  <c r="Z25" i="17"/>
  <c r="Y25" i="17"/>
  <c r="Q25" i="17"/>
  <c r="P25" i="17"/>
  <c r="H25" i="17"/>
  <c r="G25" i="17"/>
  <c r="Z24" i="17"/>
  <c r="Y24" i="17"/>
  <c r="Q24" i="17"/>
  <c r="P24" i="17"/>
  <c r="H24" i="17"/>
  <c r="G24" i="17"/>
  <c r="Z23" i="17"/>
  <c r="Y23" i="17"/>
  <c r="Q23" i="17"/>
  <c r="P23" i="17"/>
  <c r="H23" i="17"/>
  <c r="G23" i="17"/>
  <c r="Z22" i="17"/>
  <c r="Y22" i="17"/>
  <c r="Q22" i="17"/>
  <c r="P22" i="17"/>
  <c r="H22" i="17"/>
  <c r="G22" i="17"/>
  <c r="Z21" i="17"/>
  <c r="Y21" i="17"/>
  <c r="Q21" i="17"/>
  <c r="P21" i="17"/>
  <c r="H21" i="17"/>
  <c r="G21" i="17"/>
  <c r="Z20" i="17"/>
  <c r="Y20" i="17"/>
  <c r="Q20" i="17"/>
  <c r="P20" i="17"/>
  <c r="H20" i="17"/>
  <c r="G20" i="17"/>
  <c r="Z16" i="17"/>
  <c r="Y16" i="17"/>
  <c r="Q16" i="17"/>
  <c r="P16" i="17"/>
  <c r="H16" i="17"/>
  <c r="G16" i="17"/>
  <c r="Z15" i="17"/>
  <c r="Y15" i="17"/>
  <c r="Q15" i="17"/>
  <c r="P15" i="17"/>
  <c r="H15" i="17"/>
  <c r="G15" i="17"/>
  <c r="Z14" i="17"/>
  <c r="Y14" i="17"/>
  <c r="Q14" i="17"/>
  <c r="P14" i="17"/>
  <c r="H14" i="17"/>
  <c r="G14" i="17"/>
  <c r="Z13" i="17"/>
  <c r="Y13" i="17"/>
  <c r="Q13" i="17"/>
  <c r="P13" i="17"/>
  <c r="H13" i="17"/>
  <c r="G13" i="17"/>
  <c r="Z12" i="17"/>
  <c r="Y12" i="17"/>
  <c r="Q12" i="17"/>
  <c r="P12" i="17"/>
  <c r="H12" i="17"/>
  <c r="G12" i="17"/>
  <c r="Z11" i="17"/>
  <c r="Y11" i="17"/>
  <c r="Q11" i="17"/>
  <c r="P11" i="17"/>
  <c r="H11" i="17"/>
  <c r="G11" i="17"/>
  <c r="Z10" i="17"/>
  <c r="Y10" i="17"/>
  <c r="Q10" i="17"/>
  <c r="P10" i="17"/>
  <c r="H10" i="17"/>
  <c r="G10" i="17"/>
  <c r="Z9" i="17"/>
  <c r="Y9" i="17"/>
  <c r="Q9" i="17"/>
  <c r="P9" i="17"/>
  <c r="H9" i="17"/>
  <c r="G9" i="17"/>
  <c r="Z8" i="17"/>
  <c r="Y8" i="17"/>
  <c r="Q8" i="17"/>
  <c r="P8" i="17"/>
  <c r="H8" i="17"/>
  <c r="G8" i="17"/>
  <c r="Z7" i="17"/>
  <c r="Y7" i="17"/>
  <c r="Q7" i="17"/>
  <c r="P7" i="17"/>
  <c r="H7" i="17"/>
  <c r="G7" i="17"/>
  <c r="Z29" i="16"/>
  <c r="Y29" i="16"/>
  <c r="Q29" i="16"/>
  <c r="P29" i="16"/>
  <c r="H29" i="16"/>
  <c r="G29" i="16"/>
  <c r="Z28" i="16"/>
  <c r="Y28" i="16"/>
  <c r="Q28" i="16"/>
  <c r="P28" i="16"/>
  <c r="H28" i="16"/>
  <c r="G28" i="16"/>
  <c r="Z27" i="16"/>
  <c r="Y27" i="16"/>
  <c r="Q27" i="16"/>
  <c r="P27" i="16"/>
  <c r="H27" i="16"/>
  <c r="G27" i="16"/>
  <c r="Z25" i="16"/>
  <c r="Y25" i="16"/>
  <c r="Q25" i="16"/>
  <c r="P25" i="16"/>
  <c r="H25" i="16"/>
  <c r="G25" i="16"/>
  <c r="Z24" i="16"/>
  <c r="Y24" i="16"/>
  <c r="Q24" i="16"/>
  <c r="P24" i="16"/>
  <c r="H24" i="16"/>
  <c r="G24" i="16"/>
  <c r="Z23" i="16"/>
  <c r="Y23" i="16"/>
  <c r="Q23" i="16"/>
  <c r="P23" i="16"/>
  <c r="H23" i="16"/>
  <c r="G23" i="16"/>
  <c r="Z22" i="16"/>
  <c r="Y22" i="16"/>
  <c r="Q22" i="16"/>
  <c r="P22" i="16"/>
  <c r="H22" i="16"/>
  <c r="G22" i="16"/>
  <c r="Z21" i="16"/>
  <c r="Y21" i="16"/>
  <c r="Q21" i="16"/>
  <c r="P21" i="16"/>
  <c r="H21" i="16"/>
  <c r="G21" i="16"/>
  <c r="Z20" i="16"/>
  <c r="Y20" i="16"/>
  <c r="Q20" i="16"/>
  <c r="P20" i="16"/>
  <c r="H20" i="16"/>
  <c r="G20" i="16"/>
  <c r="Z16" i="16"/>
  <c r="Y16" i="16"/>
  <c r="Q16" i="16"/>
  <c r="P16" i="16"/>
  <c r="H16" i="16"/>
  <c r="G16" i="16"/>
  <c r="Z15" i="16"/>
  <c r="Y15" i="16"/>
  <c r="Q15" i="16"/>
  <c r="P15" i="16"/>
  <c r="H15" i="16"/>
  <c r="G15" i="16"/>
  <c r="Z14" i="16"/>
  <c r="Y14" i="16"/>
  <c r="Q14" i="16"/>
  <c r="P14" i="16"/>
  <c r="H14" i="16"/>
  <c r="G14" i="16"/>
  <c r="Z12" i="16"/>
  <c r="Y12" i="16"/>
  <c r="Q12" i="16"/>
  <c r="P12" i="16"/>
  <c r="H12" i="16"/>
  <c r="G12" i="16"/>
  <c r="Z11" i="16"/>
  <c r="Y11" i="16"/>
  <c r="Q11" i="16"/>
  <c r="P11" i="16"/>
  <c r="H11" i="16"/>
  <c r="G11" i="16"/>
  <c r="Z10" i="16"/>
  <c r="Y10" i="16"/>
  <c r="Q10" i="16"/>
  <c r="P10" i="16"/>
  <c r="H10" i="16"/>
  <c r="G10" i="16"/>
  <c r="Z9" i="16"/>
  <c r="Y9" i="16"/>
  <c r="Q9" i="16"/>
  <c r="P9" i="16"/>
  <c r="H9" i="16"/>
  <c r="G9" i="16"/>
  <c r="Z8" i="16"/>
  <c r="Y8" i="16"/>
  <c r="Q8" i="16"/>
  <c r="P8" i="16"/>
  <c r="H8" i="16"/>
  <c r="G8" i="16"/>
  <c r="Z7" i="16"/>
  <c r="Y7" i="16"/>
  <c r="Q7" i="16"/>
  <c r="P7" i="16"/>
  <c r="H7" i="16"/>
  <c r="G7" i="16"/>
  <c r="F3" i="14"/>
  <c r="F5" i="10"/>
  <c r="F10" i="10"/>
  <c r="F6" i="10"/>
  <c r="F4" i="10"/>
  <c r="F9" i="10"/>
  <c r="F11" i="10"/>
  <c r="F8" i="10"/>
  <c r="F7" i="10"/>
  <c r="F3" i="10"/>
  <c r="F2" i="10"/>
  <c r="F3" i="15"/>
  <c r="F2" i="15"/>
  <c r="F7" i="15"/>
  <c r="F6" i="15"/>
  <c r="F5" i="15"/>
  <c r="F9" i="15"/>
  <c r="F10" i="15"/>
  <c r="F4" i="15"/>
  <c r="F11" i="15"/>
  <c r="F8" i="15"/>
  <c r="F4" i="14"/>
  <c r="F7" i="14"/>
  <c r="F6" i="14"/>
  <c r="F2" i="14"/>
  <c r="F9" i="14"/>
  <c r="F10" i="14"/>
  <c r="F11" i="14"/>
  <c r="F5" i="14"/>
  <c r="F8" i="14"/>
  <c r="F10" i="13"/>
  <c r="F2" i="13"/>
  <c r="F3" i="13"/>
  <c r="F9" i="13"/>
  <c r="F5" i="13"/>
  <c r="F8" i="13"/>
  <c r="F6" i="13"/>
  <c r="F7" i="13"/>
  <c r="F11" i="13"/>
  <c r="F4" i="13"/>
  <c r="F5" i="12"/>
  <c r="F6" i="12"/>
  <c r="F11" i="12"/>
  <c r="F10" i="12"/>
  <c r="F8" i="12"/>
  <c r="F9" i="12"/>
  <c r="F7" i="12"/>
  <c r="F4" i="12"/>
  <c r="F3" i="12"/>
  <c r="F2" i="12"/>
  <c r="F8" i="11"/>
  <c r="F4" i="11"/>
  <c r="F2" i="11"/>
  <c r="F9" i="11"/>
  <c r="F6" i="11"/>
  <c r="F11" i="11"/>
  <c r="F7" i="11"/>
  <c r="F10" i="11"/>
  <c r="F5" i="11"/>
  <c r="F3" i="11"/>
  <c r="AB8" i="17" l="1"/>
  <c r="S9" i="17"/>
  <c r="S7" i="17"/>
  <c r="AB14" i="17"/>
  <c r="J12" i="17"/>
  <c r="S15" i="17"/>
  <c r="AB12" i="17"/>
  <c r="AB29" i="17"/>
  <c r="J16" i="17"/>
  <c r="J25" i="17"/>
  <c r="S22" i="17"/>
  <c r="S11" i="17"/>
  <c r="J24" i="17"/>
  <c r="AB16" i="17"/>
  <c r="AB10" i="17"/>
  <c r="S25" i="17"/>
  <c r="AB23" i="17"/>
  <c r="J23" i="17"/>
  <c r="S29" i="17"/>
  <c r="AB22" i="17"/>
  <c r="J11" i="17"/>
  <c r="J13" i="17"/>
  <c r="S27" i="17"/>
  <c r="AB28" i="17"/>
  <c r="J10" i="17"/>
  <c r="J15" i="17"/>
  <c r="S16" i="17"/>
  <c r="J22" i="17"/>
  <c r="J9" i="17"/>
  <c r="AB11" i="17"/>
  <c r="J14" i="17"/>
  <c r="AB25" i="17"/>
  <c r="S26" i="17"/>
  <c r="J27" i="17"/>
  <c r="AB27" i="17"/>
  <c r="J21" i="17"/>
  <c r="AB21" i="17"/>
  <c r="S21" i="17"/>
  <c r="J8" i="17"/>
  <c r="S12" i="17"/>
  <c r="AB13" i="17"/>
  <c r="S14" i="17"/>
  <c r="AB9" i="17"/>
  <c r="S10" i="17"/>
  <c r="S13" i="17"/>
  <c r="AB15" i="17"/>
  <c r="AB7" i="17"/>
  <c r="S23" i="17"/>
  <c r="AB24" i="17"/>
  <c r="S24" i="17"/>
  <c r="J26" i="17"/>
  <c r="AB26" i="17"/>
  <c r="S28" i="17"/>
  <c r="J29" i="17"/>
  <c r="J28" i="17"/>
  <c r="S8" i="17"/>
  <c r="AB20" i="17"/>
  <c r="J20" i="17"/>
  <c r="S20" i="17"/>
  <c r="J7" i="17"/>
  <c r="AB20" i="16"/>
  <c r="J22" i="16"/>
  <c r="AB24" i="16"/>
  <c r="S29" i="16"/>
  <c r="J9" i="16"/>
  <c r="J21" i="16"/>
  <c r="AB21" i="16"/>
  <c r="J24" i="16"/>
  <c r="S25" i="16"/>
  <c r="J28" i="16"/>
  <c r="S22" i="16"/>
  <c r="AB23" i="16"/>
  <c r="J25" i="16"/>
  <c r="AB25" i="16"/>
  <c r="J27" i="16"/>
  <c r="AB27" i="16"/>
  <c r="S28" i="16"/>
  <c r="J29" i="16"/>
  <c r="AB29" i="16"/>
  <c r="S12" i="16"/>
  <c r="J15" i="16"/>
  <c r="S10" i="16"/>
  <c r="S8" i="16"/>
  <c r="AB8" i="16"/>
  <c r="S9" i="16"/>
  <c r="J10" i="16"/>
  <c r="S11" i="16"/>
  <c r="AB14" i="16"/>
  <c r="S15" i="16"/>
  <c r="J16" i="16"/>
  <c r="J14" i="16"/>
  <c r="J11" i="16"/>
  <c r="AB11" i="16"/>
  <c r="S14" i="16"/>
  <c r="S16" i="16"/>
  <c r="AB12" i="16"/>
  <c r="AB16" i="16"/>
  <c r="J20" i="16"/>
  <c r="S20" i="16"/>
  <c r="AB7" i="16"/>
  <c r="S7" i="16"/>
  <c r="AB9" i="16"/>
  <c r="AB10" i="16"/>
  <c r="AB15" i="16"/>
  <c r="J7" i="16"/>
  <c r="J12" i="16"/>
  <c r="J8" i="16"/>
  <c r="AB22" i="16"/>
  <c r="AB28" i="16"/>
  <c r="S23" i="16"/>
  <c r="S21" i="16"/>
  <c r="S24" i="16"/>
  <c r="S27" i="16"/>
  <c r="J23" i="16"/>
  <c r="G27" i="3"/>
  <c r="H27" i="3"/>
  <c r="P27" i="3"/>
  <c r="Q27" i="3"/>
  <c r="Y27" i="3"/>
  <c r="Z27" i="3"/>
  <c r="G28" i="3"/>
  <c r="H28" i="3"/>
  <c r="P28" i="3"/>
  <c r="Q28" i="3"/>
  <c r="Y28" i="3"/>
  <c r="Z28" i="3"/>
  <c r="G29" i="3"/>
  <c r="H29" i="3"/>
  <c r="P29" i="3"/>
  <c r="Q29" i="3"/>
  <c r="Y29" i="3"/>
  <c r="Z29" i="3"/>
  <c r="H38" i="17" l="1"/>
  <c r="H42" i="17"/>
  <c r="H37" i="17"/>
  <c r="H40" i="17"/>
  <c r="H39" i="17"/>
  <c r="H36" i="17"/>
  <c r="H35" i="17"/>
  <c r="H41" i="17"/>
  <c r="H33" i="17"/>
  <c r="H38" i="16"/>
  <c r="H41" i="16"/>
  <c r="H35" i="16"/>
  <c r="H40" i="16"/>
  <c r="H36" i="16"/>
  <c r="H42" i="16"/>
  <c r="H37" i="16"/>
  <c r="H33" i="16"/>
  <c r="H34" i="16"/>
  <c r="AB28" i="3"/>
  <c r="AB27" i="3"/>
  <c r="AB29" i="3"/>
  <c r="S29" i="3"/>
  <c r="J28" i="3"/>
  <c r="S27" i="3"/>
  <c r="J29" i="3"/>
  <c r="S28" i="3"/>
  <c r="J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Q26" i="3"/>
  <c r="P26" i="3"/>
  <c r="Q25" i="3"/>
  <c r="P25" i="3"/>
  <c r="Q24" i="3"/>
  <c r="P24" i="3"/>
  <c r="Q23" i="3"/>
  <c r="P23" i="3"/>
  <c r="Q22" i="3"/>
  <c r="P22" i="3"/>
  <c r="Q21" i="3"/>
  <c r="P21" i="3"/>
  <c r="Q20" i="3"/>
  <c r="P20" i="3"/>
  <c r="H26" i="3"/>
  <c r="G26" i="3"/>
  <c r="H25" i="3"/>
  <c r="G25" i="3"/>
  <c r="H24" i="3"/>
  <c r="G24" i="3"/>
  <c r="H23" i="3"/>
  <c r="G23" i="3"/>
  <c r="H22" i="3"/>
  <c r="G22" i="3"/>
  <c r="H21" i="3"/>
  <c r="G21" i="3"/>
  <c r="H20" i="3"/>
  <c r="G20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Q16" i="3"/>
  <c r="P16" i="3"/>
  <c r="Q15" i="3"/>
  <c r="P15" i="3"/>
  <c r="Q14" i="3"/>
  <c r="P14" i="3"/>
  <c r="Q13" i="3"/>
  <c r="P13" i="3"/>
  <c r="Q12" i="3"/>
  <c r="P12" i="3"/>
  <c r="Q11" i="3"/>
  <c r="P11" i="3"/>
  <c r="Q10" i="3"/>
  <c r="P10" i="3"/>
  <c r="Q9" i="3"/>
  <c r="P9" i="3"/>
  <c r="Q8" i="3"/>
  <c r="P8" i="3"/>
  <c r="Q7" i="3"/>
  <c r="P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H7" i="3"/>
  <c r="G7" i="3"/>
  <c r="S7" i="3" l="1"/>
  <c r="S9" i="3"/>
  <c r="S11" i="3"/>
  <c r="S13" i="3"/>
  <c r="S15" i="3"/>
  <c r="AB7" i="3"/>
  <c r="AB9" i="3"/>
  <c r="AB11" i="3"/>
  <c r="AB13" i="3"/>
  <c r="AB15" i="3"/>
  <c r="J16" i="3"/>
  <c r="J12" i="3"/>
  <c r="J8" i="3"/>
  <c r="AB20" i="3"/>
  <c r="AB22" i="3"/>
  <c r="AB24" i="3"/>
  <c r="AB26" i="3"/>
  <c r="J14" i="3"/>
  <c r="J10" i="3"/>
  <c r="AB21" i="3"/>
  <c r="AB23" i="3"/>
  <c r="J15" i="3"/>
  <c r="J13" i="3"/>
  <c r="J9" i="3"/>
  <c r="S8" i="3"/>
  <c r="S10" i="3"/>
  <c r="S12" i="3"/>
  <c r="S14" i="3"/>
  <c r="S16" i="3"/>
  <c r="AB8" i="3"/>
  <c r="AB10" i="3"/>
  <c r="AB12" i="3"/>
  <c r="AB14" i="3"/>
  <c r="AB16" i="3"/>
  <c r="J11" i="3"/>
  <c r="AB25" i="3"/>
  <c r="J7" i="3"/>
  <c r="J25" i="3"/>
  <c r="S21" i="3"/>
  <c r="J21" i="3"/>
  <c r="S23" i="3"/>
  <c r="J20" i="3"/>
  <c r="J22" i="3"/>
  <c r="J24" i="3"/>
  <c r="S24" i="3"/>
  <c r="S26" i="3"/>
  <c r="J26" i="3"/>
  <c r="S25" i="3"/>
  <c r="J23" i="3"/>
  <c r="S22" i="3"/>
  <c r="S20" i="3"/>
  <c r="H35" i="3" l="1"/>
  <c r="H41" i="3"/>
  <c r="H38" i="3"/>
  <c r="H37" i="3"/>
  <c r="H36" i="3"/>
  <c r="H42" i="3"/>
  <c r="H33" i="3"/>
  <c r="H39" i="3"/>
  <c r="H40" i="3"/>
  <c r="H34" i="3"/>
</calcChain>
</file>

<file path=xl/sharedStrings.xml><?xml version="1.0" encoding="utf-8"?>
<sst xmlns="http://schemas.openxmlformats.org/spreadsheetml/2006/main" count="544" uniqueCount="88">
  <si>
    <t>GRUPO</t>
  </si>
  <si>
    <t>MARCAÇÃO</t>
  </si>
  <si>
    <t>A1</t>
  </si>
  <si>
    <t>A2</t>
  </si>
  <si>
    <t>A3</t>
  </si>
  <si>
    <t>A4</t>
  </si>
  <si>
    <t>A5</t>
  </si>
  <si>
    <t>P</t>
  </si>
  <si>
    <t>TOT</t>
  </si>
  <si>
    <t>CASAL DE NOIVOS</t>
  </si>
  <si>
    <t>TOTAL</t>
  </si>
  <si>
    <t>C</t>
  </si>
  <si>
    <t>PENAS</t>
  </si>
  <si>
    <t>GERAL</t>
  </si>
  <si>
    <t>CAMPEÃ</t>
  </si>
  <si>
    <t>VICE-CAMPEÃ</t>
  </si>
  <si>
    <t>3ª COLOCADA</t>
  </si>
  <si>
    <t>4ª COLOCADA</t>
  </si>
  <si>
    <t>5ª COLOCADA</t>
  </si>
  <si>
    <t>MARCADOR</t>
  </si>
  <si>
    <t>CASAL NOIVOS</t>
  </si>
  <si>
    <t>FIGURINO</t>
  </si>
  <si>
    <t>COREOGRAFIA / HARMONIA</t>
  </si>
  <si>
    <t>MIN</t>
  </si>
  <si>
    <t>MAX</t>
  </si>
  <si>
    <t>TRILHA SONORA / REPERTÓRIO MUSICAL</t>
  </si>
  <si>
    <t>QUADRILHA</t>
  </si>
  <si>
    <t xml:space="preserve">PLANILHA DE APURAÇÃO - 1ª ETAPA </t>
  </si>
  <si>
    <t>XEM NHEM NHEM</t>
  </si>
  <si>
    <t>ARTIGOS</t>
  </si>
  <si>
    <t>PENALIDADES</t>
  </si>
  <si>
    <t>ANIMAÇÃO DOS DANÇARINOS</t>
  </si>
  <si>
    <t>FORNALHA</t>
  </si>
  <si>
    <t>XIQUE XIQUE</t>
  </si>
  <si>
    <t>1ª ETAPA</t>
  </si>
  <si>
    <t>2ª ETAPA</t>
  </si>
  <si>
    <t>3ª ETAPA</t>
  </si>
  <si>
    <t>QUADRILHAS</t>
  </si>
  <si>
    <t>RESULTADO GRUPO DE ACESSO 2025</t>
  </si>
  <si>
    <t>GRUPO DE ACESSO</t>
  </si>
  <si>
    <t>20 E 21 DE JUNHO - PARANOÁ/DF</t>
  </si>
  <si>
    <t>CLASSIFICAÇÃO 1ª ETAPA - GRUPO DE ACESSO</t>
  </si>
  <si>
    <t>MATINGUEIROS DO SERTÃO</t>
  </si>
  <si>
    <t>FURACÃO</t>
  </si>
  <si>
    <t>MATULÃO</t>
  </si>
  <si>
    <t>CHINELO DE COURO</t>
  </si>
  <si>
    <t>TENGO LENGO</t>
  </si>
  <si>
    <t>OS CABOCLOS DO SERTÃO</t>
  </si>
  <si>
    <t>SOL DE MARIA</t>
  </si>
  <si>
    <t>LUCIANA LOUREIRO</t>
  </si>
  <si>
    <t>AGLAI BENTO</t>
  </si>
  <si>
    <t>RICARDO JERÔNIMO</t>
  </si>
  <si>
    <t>LARISSA VARGAS</t>
  </si>
  <si>
    <t>RENATA NUNES</t>
  </si>
  <si>
    <t>Art. 6 §1º</t>
  </si>
  <si>
    <t>Art. 38 § 1º, § 2 º, §3º</t>
  </si>
  <si>
    <t>AVALIADORA 01:</t>
  </si>
  <si>
    <t>AVALIADORA 02:</t>
  </si>
  <si>
    <t>AVALIADOR 03:</t>
  </si>
  <si>
    <t>AVALIADORA 04:</t>
  </si>
  <si>
    <t>AVALIADORA 05:</t>
  </si>
  <si>
    <t>* desempate coreografia</t>
  </si>
  <si>
    <t>JUNINA MATULÃO</t>
  </si>
  <si>
    <t>27 E 28 DE JUNHO - TAGUATINGA/DF</t>
  </si>
  <si>
    <t xml:space="preserve">PLANILHA DE APURAÇÃO - 2ª ETAPA </t>
  </si>
  <si>
    <t>CLASSIFICAÇÃO 2ª ETAPA - GRUPO DE ACESSO</t>
  </si>
  <si>
    <t>04 E 05 DE JULHO - SAMAMBAIA/DF</t>
  </si>
  <si>
    <t xml:space="preserve">PLANILHA DE APURAÇÃO - 3ª ETAPA </t>
  </si>
  <si>
    <t>CLASSIFICAÇÃO 3ª ETAPA - GRUPO DE ACESSO</t>
  </si>
  <si>
    <t>GENIVALDO BESERRA</t>
  </si>
  <si>
    <t>GLEDNA FERNANDA</t>
  </si>
  <si>
    <t>PAULO RUSSO</t>
  </si>
  <si>
    <t>EDMAR OLIVEIRA</t>
  </si>
  <si>
    <t>Ana Paula e Brayan (Os Caboclos do Sertão)</t>
  </si>
  <si>
    <t>ALESSANDRA ARAÚJO</t>
  </si>
  <si>
    <t>* Desempate coreografia</t>
  </si>
  <si>
    <t>Desclas.</t>
  </si>
  <si>
    <t>Desclassificação</t>
  </si>
  <si>
    <t>Art. 25 § 3º e Art. 38</t>
  </si>
  <si>
    <t>Álisson Santos (Matingueiros do Sertão)</t>
  </si>
  <si>
    <t>JÚLIO CÉSAR ESTEVAM</t>
  </si>
  <si>
    <t>ALZIRA BOSAIPO</t>
  </si>
  <si>
    <t>GILBERTO ALVES</t>
  </si>
  <si>
    <t>MICHELLY AMORIM</t>
  </si>
  <si>
    <t>FRANK BRANDÃO JÚNIOR</t>
  </si>
  <si>
    <t>Art 38</t>
  </si>
  <si>
    <t>Érica Caldeira e Bruno Alves (Junina Matulão) / Denilde Moreira e Thiago Xavier (Xique Xique)</t>
  </si>
  <si>
    <t>Marcos Mendes (Junina Matulão)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</si>
</sst>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3">
    <xf numFmtId="0" fontId="0" fillId="0" borderId="0" xfId="0"/>
    <xf numFmtId="0" fontId="5" fillId="0" borderId="0" xfId="0" applyFont="1"/>
    <xf numFmtId="164" fontId="2" fillId="0" borderId="16" xfId="0" applyNumberFormat="1" applyFont="1" applyBorder="1" applyAlignment="1">
      <alignment vertical="center"/>
    </xf>
    <xf numFmtId="164" fontId="2" fillId="0" borderId="15" xfId="0" applyNumberFormat="1" applyFont="1" applyBorder="1" applyAlignment="1">
      <alignment vertical="center"/>
    </xf>
    <xf numFmtId="164" fontId="2" fillId="0" borderId="40" xfId="0" applyNumberFormat="1" applyFont="1" applyBorder="1" applyAlignment="1">
      <alignment vertical="center"/>
    </xf>
    <xf numFmtId="164" fontId="0" fillId="0" borderId="9" xfId="0" applyNumberFormat="1" applyBorder="1"/>
    <xf numFmtId="0" fontId="10" fillId="0" borderId="9" xfId="0" applyFont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vertical="center" shrinkToFit="1"/>
    </xf>
    <xf numFmtId="164" fontId="2" fillId="4" borderId="19" xfId="0" applyNumberFormat="1" applyFont="1" applyFill="1" applyBorder="1" applyAlignment="1">
      <alignment vertical="center"/>
    </xf>
    <xf numFmtId="164" fontId="2" fillId="2" borderId="19" xfId="0" applyNumberFormat="1" applyFont="1" applyFill="1" applyBorder="1" applyAlignment="1">
      <alignment horizontal="center" vertical="center"/>
    </xf>
    <xf numFmtId="164" fontId="1" fillId="7" borderId="29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/>
    </xf>
    <xf numFmtId="164" fontId="2" fillId="0" borderId="8" xfId="0" applyNumberFormat="1" applyFont="1" applyBorder="1" applyAlignment="1">
      <alignment vertical="center"/>
    </xf>
    <xf numFmtId="164" fontId="2" fillId="0" borderId="9" xfId="0" applyNumberFormat="1" applyFont="1" applyBorder="1" applyAlignment="1">
      <alignment vertical="center"/>
    </xf>
    <xf numFmtId="164" fontId="2" fillId="4" borderId="9" xfId="0" applyNumberFormat="1" applyFont="1" applyFill="1" applyBorder="1" applyAlignment="1">
      <alignment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1" fillId="7" borderId="10" xfId="0" applyNumberFormat="1" applyFont="1" applyFill="1" applyBorder="1" applyAlignment="1">
      <alignment vertical="center"/>
    </xf>
    <xf numFmtId="0" fontId="2" fillId="0" borderId="7" xfId="0" applyFont="1" applyBorder="1" applyAlignment="1">
      <alignment vertical="center" shrinkToFi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2" fontId="4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9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2" fillId="0" borderId="12" xfId="0" applyNumberFormat="1" applyFont="1" applyBorder="1" applyAlignment="1">
      <alignment vertical="center"/>
    </xf>
    <xf numFmtId="164" fontId="2" fillId="4" borderId="12" xfId="0" applyNumberFormat="1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1" fillId="7" borderId="13" xfId="0" applyNumberFormat="1" applyFont="1" applyFill="1" applyBorder="1" applyAlignment="1">
      <alignment vertical="center"/>
    </xf>
    <xf numFmtId="0" fontId="6" fillId="0" borderId="22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164" fontId="6" fillId="0" borderId="16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 shrinkToFit="1"/>
    </xf>
    <xf numFmtId="164" fontId="2" fillId="0" borderId="39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vertical="center"/>
    </xf>
    <xf numFmtId="0" fontId="0" fillId="0" borderId="9" xfId="0" applyBorder="1"/>
    <xf numFmtId="0" fontId="9" fillId="0" borderId="9" xfId="0" applyFont="1" applyBorder="1" applyAlignment="1">
      <alignment vertical="center" shrinkToFit="1"/>
    </xf>
    <xf numFmtId="0" fontId="9" fillId="0" borderId="9" xfId="0" applyFont="1" applyBorder="1" applyAlignment="1">
      <alignment vertical="center"/>
    </xf>
    <xf numFmtId="0" fontId="15" fillId="3" borderId="9" xfId="0" applyFont="1" applyFill="1" applyBorder="1" applyAlignment="1">
      <alignment vertical="center"/>
    </xf>
    <xf numFmtId="0" fontId="8" fillId="3" borderId="22" xfId="0" applyFont="1" applyFill="1" applyBorder="1" applyAlignment="1">
      <alignment horizontal="left" vertical="center"/>
    </xf>
    <xf numFmtId="0" fontId="8" fillId="3" borderId="41" xfId="0" applyFont="1" applyFill="1" applyBorder="1" applyAlignment="1">
      <alignment horizontal="left" vertical="center"/>
    </xf>
    <xf numFmtId="0" fontId="8" fillId="3" borderId="40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vertical="center"/>
    </xf>
    <xf numFmtId="0" fontId="16" fillId="3" borderId="22" xfId="0" applyFont="1" applyFill="1" applyBorder="1" applyAlignment="1">
      <alignment horizontal="left" vertical="center"/>
    </xf>
    <xf numFmtId="0" fontId="17" fillId="3" borderId="22" xfId="0" applyFont="1" applyFill="1" applyBorder="1" applyAlignment="1">
      <alignment vertical="center" shrinkToFit="1"/>
    </xf>
    <xf numFmtId="0" fontId="17" fillId="3" borderId="15" xfId="0" applyFont="1" applyFill="1" applyBorder="1" applyAlignment="1">
      <alignment vertical="center" shrinkToFit="1"/>
    </xf>
    <xf numFmtId="0" fontId="17" fillId="3" borderId="22" xfId="0" applyFont="1" applyFill="1" applyBorder="1" applyAlignment="1">
      <alignment horizontal="left" vertical="center"/>
    </xf>
    <xf numFmtId="0" fontId="17" fillId="3" borderId="15" xfId="0" applyFont="1" applyFill="1" applyBorder="1" applyAlignment="1">
      <alignment horizontal="left" vertical="center"/>
    </xf>
    <xf numFmtId="0" fontId="17" fillId="3" borderId="22" xfId="0" applyFont="1" applyFill="1" applyBorder="1" applyAlignment="1">
      <alignment vertical="center"/>
    </xf>
    <xf numFmtId="0" fontId="17" fillId="3" borderId="15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15" xfId="0" applyFont="1" applyFill="1" applyBorder="1" applyAlignment="1">
      <alignment vertical="center"/>
    </xf>
    <xf numFmtId="0" fontId="15" fillId="3" borderId="22" xfId="0" applyFont="1" applyFill="1" applyBorder="1" applyAlignment="1">
      <alignment vertical="center"/>
    </xf>
    <xf numFmtId="0" fontId="2" fillId="3" borderId="41" xfId="0" applyFont="1" applyFill="1" applyBorder="1" applyAlignment="1">
      <alignment vertical="center"/>
    </xf>
    <xf numFmtId="0" fontId="2" fillId="3" borderId="41" xfId="0" applyFont="1" applyFill="1" applyBorder="1" applyAlignment="1">
      <alignment horizontal="left" vertical="center"/>
    </xf>
    <xf numFmtId="0" fontId="2" fillId="3" borderId="40" xfId="0" applyFont="1" applyFill="1" applyBorder="1" applyAlignment="1">
      <alignment horizontal="left" vertical="center"/>
    </xf>
    <xf numFmtId="164" fontId="2" fillId="3" borderId="16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vertical="center"/>
    </xf>
    <xf numFmtId="0" fontId="2" fillId="3" borderId="22" xfId="0" applyFont="1" applyFill="1" applyBorder="1" applyAlignment="1">
      <alignment horizontal="left" vertical="center"/>
    </xf>
    <xf numFmtId="0" fontId="2" fillId="3" borderId="15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2" fillId="3" borderId="22" xfId="0" applyFont="1" applyFill="1" applyBorder="1" applyAlignment="1">
      <alignment horizontal="left" vertical="center" shrinkToFit="1"/>
    </xf>
    <xf numFmtId="0" fontId="2" fillId="3" borderId="15" xfId="0" applyFont="1" applyFill="1" applyBorder="1" applyAlignment="1">
      <alignment horizontal="left" vertical="center" shrinkToFit="1"/>
    </xf>
    <xf numFmtId="0" fontId="8" fillId="0" borderId="22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17" fillId="0" borderId="22" xfId="0" applyFont="1" applyBorder="1" applyAlignment="1">
      <alignment vertical="center"/>
    </xf>
    <xf numFmtId="0" fontId="17" fillId="0" borderId="15" xfId="0" applyFont="1" applyBorder="1" applyAlignment="1">
      <alignment vertical="center"/>
    </xf>
    <xf numFmtId="0" fontId="6" fillId="0" borderId="46" xfId="0" applyFont="1" applyBorder="1" applyAlignment="1">
      <alignment vertical="center"/>
    </xf>
    <xf numFmtId="0" fontId="18" fillId="3" borderId="9" xfId="0" applyFont="1" applyFill="1" applyBorder="1" applyAlignment="1">
      <alignment vertical="center"/>
    </xf>
    <xf numFmtId="0" fontId="20" fillId="3" borderId="22" xfId="0" applyFont="1" applyFill="1" applyBorder="1" applyAlignment="1">
      <alignment vertical="center"/>
    </xf>
    <xf numFmtId="0" fontId="20" fillId="3" borderId="15" xfId="0" applyFont="1" applyFill="1" applyBorder="1" applyAlignment="1">
      <alignment vertical="center"/>
    </xf>
    <xf numFmtId="0" fontId="14" fillId="0" borderId="22" xfId="0" applyFont="1" applyBorder="1" applyAlignment="1">
      <alignment horizontal="left" vertical="center"/>
    </xf>
    <xf numFmtId="164" fontId="14" fillId="0" borderId="16" xfId="0" applyNumberFormat="1" applyFont="1" applyBorder="1" applyAlignment="1">
      <alignment horizontal="left" vertical="center"/>
    </xf>
    <xf numFmtId="164" fontId="14" fillId="0" borderId="9" xfId="0" applyNumberFormat="1" applyFont="1" applyBorder="1" applyAlignment="1">
      <alignment horizontal="left" vertical="center"/>
    </xf>
    <xf numFmtId="0" fontId="11" fillId="0" borderId="22" xfId="0" applyFont="1" applyBorder="1" applyAlignment="1">
      <alignment horizontal="left" vertical="center"/>
    </xf>
    <xf numFmtId="164" fontId="11" fillId="0" borderId="16" xfId="0" applyNumberFormat="1" applyFont="1" applyBorder="1" applyAlignment="1">
      <alignment horizontal="left" vertical="center"/>
    </xf>
    <xf numFmtId="164" fontId="11" fillId="0" borderId="9" xfId="0" applyNumberFormat="1" applyFont="1" applyBorder="1" applyAlignment="1">
      <alignment horizontal="left" vertical="center"/>
    </xf>
    <xf numFmtId="164" fontId="14" fillId="0" borderId="39" xfId="0" applyNumberFormat="1" applyFont="1" applyBorder="1" applyAlignment="1">
      <alignment horizontal="left" vertical="center"/>
    </xf>
    <xf numFmtId="164" fontId="11" fillId="0" borderId="9" xfId="0" applyNumberFormat="1" applyFont="1" applyBorder="1" applyAlignment="1">
      <alignment vertical="center"/>
    </xf>
    <xf numFmtId="0" fontId="12" fillId="8" borderId="9" xfId="0" applyFont="1" applyFill="1" applyBorder="1" applyAlignment="1">
      <alignment vertical="center"/>
    </xf>
    <xf numFmtId="0" fontId="19" fillId="8" borderId="22" xfId="0" applyFont="1" applyFill="1" applyBorder="1" applyAlignment="1">
      <alignment horizontal="left" vertical="center"/>
    </xf>
    <xf numFmtId="164" fontId="19" fillId="8" borderId="16" xfId="0" applyNumberFormat="1" applyFont="1" applyFill="1" applyBorder="1" applyAlignment="1">
      <alignment horizontal="left" vertical="center"/>
    </xf>
    <xf numFmtId="164" fontId="19" fillId="8" borderId="9" xfId="0" applyNumberFormat="1" applyFont="1" applyFill="1" applyBorder="1" applyAlignment="1">
      <alignment horizontal="left" vertical="center"/>
    </xf>
    <xf numFmtId="164" fontId="12" fillId="8" borderId="9" xfId="0" applyNumberFormat="1" applyFont="1" applyFill="1" applyBorder="1" applyAlignment="1">
      <alignment vertical="center"/>
    </xf>
    <xf numFmtId="0" fontId="11" fillId="3" borderId="9" xfId="0" applyFont="1" applyFill="1" applyBorder="1" applyAlignment="1">
      <alignment vertical="center"/>
    </xf>
    <xf numFmtId="0" fontId="14" fillId="3" borderId="22" xfId="0" applyFont="1" applyFill="1" applyBorder="1" applyAlignment="1">
      <alignment horizontal="left" vertical="center"/>
    </xf>
    <xf numFmtId="164" fontId="14" fillId="3" borderId="16" xfId="0" applyNumberFormat="1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left" vertical="center"/>
    </xf>
    <xf numFmtId="164" fontId="14" fillId="3" borderId="9" xfId="0" applyNumberFormat="1" applyFont="1" applyFill="1" applyBorder="1" applyAlignment="1">
      <alignment horizontal="left" vertical="center"/>
    </xf>
    <xf numFmtId="164" fontId="11" fillId="3" borderId="9" xfId="0" applyNumberFormat="1" applyFont="1" applyFill="1" applyBorder="1" applyAlignment="1">
      <alignment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9" xfId="0" applyNumberFormat="1" applyFont="1" applyBorder="1" applyAlignment="1">
      <alignment horizontal="center" vertical="center"/>
    </xf>
    <xf numFmtId="164" fontId="2" fillId="0" borderId="16" xfId="0" applyNumberFormat="1" applyFont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13" xfId="0" applyNumberFormat="1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10" xfId="0" applyNumberFormat="1" applyFont="1" applyBorder="1" applyAlignment="1">
      <alignment horizontal="center" vertical="center"/>
    </xf>
    <xf numFmtId="164" fontId="2" fillId="6" borderId="8" xfId="0" applyNumberFormat="1" applyFont="1" applyFill="1" applyBorder="1" applyAlignment="1">
      <alignment horizontal="center" vertical="center"/>
    </xf>
    <xf numFmtId="164" fontId="2" fillId="6" borderId="10" xfId="0" applyNumberFormat="1" applyFont="1" applyFill="1" applyBorder="1" applyAlignment="1">
      <alignment horizontal="center" vertical="center"/>
    </xf>
    <xf numFmtId="164" fontId="2" fillId="0" borderId="11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45" xfId="0" applyNumberFormat="1" applyFont="1" applyBorder="1" applyAlignment="1">
      <alignment horizontal="center" vertical="center"/>
    </xf>
    <xf numFmtId="164" fontId="17" fillId="3" borderId="16" xfId="0" applyNumberFormat="1" applyFont="1" applyFill="1" applyBorder="1" applyAlignment="1">
      <alignment horizontal="center" vertical="center"/>
    </xf>
    <xf numFmtId="164" fontId="17" fillId="3" borderId="15" xfId="0" applyNumberFormat="1" applyFont="1" applyFill="1" applyBorder="1" applyAlignment="1">
      <alignment horizontal="center" vertical="center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6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32" xfId="0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8" fillId="5" borderId="14" xfId="0" applyFont="1" applyFill="1" applyBorder="1" applyAlignment="1">
      <alignment horizontal="center"/>
    </xf>
    <xf numFmtId="0" fontId="8" fillId="5" borderId="35" xfId="0" applyFont="1" applyFill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5" borderId="17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36" xfId="0" applyFont="1" applyFill="1" applyBorder="1" applyAlignment="1">
      <alignment horizontal="center"/>
    </xf>
    <xf numFmtId="0" fontId="8" fillId="5" borderId="37" xfId="0" applyFont="1" applyFill="1" applyBorder="1" applyAlignment="1">
      <alignment horizontal="center"/>
    </xf>
    <xf numFmtId="0" fontId="8" fillId="5" borderId="38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/>
    </xf>
    <xf numFmtId="0" fontId="8" fillId="6" borderId="31" xfId="0" applyFont="1" applyFill="1" applyBorder="1" applyAlignment="1">
      <alignment horizontal="left" vertical="center" wrapText="1"/>
    </xf>
    <xf numFmtId="0" fontId="8" fillId="6" borderId="12" xfId="0" applyFont="1" applyFill="1" applyBorder="1" applyAlignment="1">
      <alignment horizontal="left" vertical="center" wrapText="1"/>
    </xf>
    <xf numFmtId="0" fontId="8" fillId="6" borderId="13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left" vertical="center"/>
    </xf>
    <xf numFmtId="0" fontId="8" fillId="6" borderId="5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6" borderId="15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22" xfId="0" applyFont="1" applyBorder="1" applyAlignment="1">
      <alignment horizontal="right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8" fillId="3" borderId="15" xfId="0" applyNumberFormat="1" applyFont="1" applyFill="1" applyBorder="1" applyAlignment="1">
      <alignment horizontal="center" vertical="center"/>
    </xf>
    <xf numFmtId="164" fontId="2" fillId="0" borderId="34" xfId="0" applyNumberFormat="1" applyFont="1" applyBorder="1" applyAlignment="1">
      <alignment horizontal="center" vertical="center"/>
    </xf>
    <xf numFmtId="164" fontId="2" fillId="0" borderId="5" xfId="0" applyNumberFormat="1" applyFont="1" applyBorder="1" applyAlignment="1">
      <alignment horizontal="center" vertical="center"/>
    </xf>
    <xf numFmtId="164" fontId="2" fillId="0" borderId="28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6" fillId="0" borderId="46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44" xfId="0" applyFont="1" applyBorder="1" applyAlignment="1">
      <alignment horizontal="right" vertical="center"/>
    </xf>
    <xf numFmtId="0" fontId="1" fillId="0" borderId="23" xfId="0" applyFont="1" applyBorder="1" applyAlignment="1">
      <alignment horizontal="righ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3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7" fillId="0" borderId="47" xfId="0" applyFont="1" applyBorder="1" applyAlignment="1">
      <alignment horizontal="center" vertical="center"/>
    </xf>
    <xf numFmtId="0" fontId="15" fillId="3" borderId="16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22" xfId="0" applyNumberFormat="1" applyFont="1" applyBorder="1" applyAlignment="1">
      <alignment horizontal="center" vertical="center"/>
    </xf>
    <xf numFmtId="164" fontId="2" fillId="0" borderId="20" xfId="0" applyNumberFormat="1" applyFont="1" applyBorder="1" applyAlignment="1">
      <alignment horizontal="center" vertical="center"/>
    </xf>
    <xf numFmtId="164" fontId="20" fillId="3" borderId="16" xfId="0" applyNumberFormat="1" applyFont="1" applyFill="1" applyBorder="1" applyAlignment="1">
      <alignment horizontal="center" vertical="center"/>
    </xf>
    <xf numFmtId="164" fontId="20" fillId="3" borderId="15" xfId="0" applyNumberFormat="1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/>
    </xf>
    <xf numFmtId="0" fontId="18" fillId="9" borderId="9" xfId="0" applyFont="1" applyFill="1" applyBorder="1"/>
    <xf numFmtId="0" fontId="20" fillId="9" borderId="9" xfId="0" applyFont="1" applyFill="1" applyBorder="1" applyAlignment="1">
      <alignment vertical="center"/>
    </xf>
    <xf numFmtId="164" fontId="18" fillId="9" borderId="9" xfId="0" applyNumberFormat="1" applyFont="1" applyFill="1" applyBorder="1"/>
    <xf numFmtId="0" fontId="20" fillId="9" borderId="9" xfId="0" applyFont="1" applyFill="1" applyBorder="1" applyAlignment="1">
      <alignment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102669</xdr:colOff>
      <xdr:row>42</xdr:row>
      <xdr:rowOff>220980</xdr:rowOff>
    </xdr:from>
    <xdr:to>
      <xdr:col>8</xdr:col>
      <xdr:colOff>106749</xdr:colOff>
      <xdr:row>53</xdr:row>
      <xdr:rowOff>92733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59950D8-B6B6-01A5-C5B8-B48813DB6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69" y="10668000"/>
          <a:ext cx="3913140" cy="2553992"/>
        </a:xfrm>
        <a:prstGeom prst="rect">
          <a:avLst/>
        </a:prstGeom>
      </xdr:spPr>
    </xdr:pic>
    <xdr:clientData/>
  </xdr:twoCellAnchor>
  <xdr:twoCellAnchor editAs="oneCell">
    <xdr:from>
      <xdr:col>2</xdr:col>
      <xdr:colOff>221672</xdr:colOff>
      <xdr:row>53</xdr:row>
      <xdr:rowOff>49920</xdr:rowOff>
    </xdr:from>
    <xdr:to>
      <xdr:col>21</xdr:col>
      <xdr:colOff>221672</xdr:colOff>
      <xdr:row>57</xdr:row>
      <xdr:rowOff>147454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8AA05E9-817A-1250-DE0E-45D4D701E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9690" y="13329502"/>
          <a:ext cx="5798127" cy="8179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102669</xdr:colOff>
      <xdr:row>42</xdr:row>
      <xdr:rowOff>220980</xdr:rowOff>
    </xdr:from>
    <xdr:to>
      <xdr:col>8</xdr:col>
      <xdr:colOff>106749</xdr:colOff>
      <xdr:row>53</xdr:row>
      <xdr:rowOff>92733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A172938-9329-43C6-9888-2D0BDCB23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69" y="10668000"/>
          <a:ext cx="3768360" cy="2553993"/>
        </a:xfrm>
        <a:prstGeom prst="rect">
          <a:avLst/>
        </a:prstGeom>
      </xdr:spPr>
    </xdr:pic>
    <xdr:clientData/>
  </xdr:twoCellAnchor>
  <xdr:twoCellAnchor editAs="oneCell">
    <xdr:from>
      <xdr:col>1</xdr:col>
      <xdr:colOff>311727</xdr:colOff>
      <xdr:row>53</xdr:row>
      <xdr:rowOff>61499</xdr:rowOff>
    </xdr:from>
    <xdr:to>
      <xdr:col>22</xdr:col>
      <xdr:colOff>221672</xdr:colOff>
      <xdr:row>57</xdr:row>
      <xdr:rowOff>147744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8B2EF96-04EF-4C04-6420-FC3E648D3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236" y="13341081"/>
          <a:ext cx="6359236" cy="8066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102669</xdr:colOff>
      <xdr:row>42</xdr:row>
      <xdr:rowOff>220980</xdr:rowOff>
    </xdr:from>
    <xdr:to>
      <xdr:col>9</xdr:col>
      <xdr:colOff>7103</xdr:colOff>
      <xdr:row>52</xdr:row>
      <xdr:rowOff>139625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43CA1B2-C7AA-4AA6-B276-B06A32005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669" y="10668000"/>
          <a:ext cx="3768360" cy="2553993"/>
        </a:xfrm>
        <a:prstGeom prst="rect">
          <a:avLst/>
        </a:prstGeom>
      </xdr:spPr>
    </xdr:pic>
    <xdr:clientData/>
  </xdr:twoCellAnchor>
  <xdr:twoCellAnchor editAs="oneCell">
    <xdr:from>
      <xdr:col>1</xdr:col>
      <xdr:colOff>240323</xdr:colOff>
      <xdr:row>52</xdr:row>
      <xdr:rowOff>89081</xdr:rowOff>
    </xdr:from>
    <xdr:to>
      <xdr:col>24</xdr:col>
      <xdr:colOff>212613</xdr:colOff>
      <xdr:row>56</xdr:row>
      <xdr:rowOff>127855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F561886-BAEE-83B6-E82E-D6173A97C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7431" y="13300989"/>
          <a:ext cx="7011997" cy="7656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Amarelo">
      <a:dk1>
        <a:sysClr val="windowText" lastClr="000000"/>
      </a:dk1>
      <a:lt1>
        <a:sysClr val="window" lastClr="FFFFFF"/>
      </a:lt1>
      <a:dk2>
        <a:srgbClr val="39302A"/>
      </a:dk2>
      <a:lt2>
        <a:srgbClr val="E5DEDB"/>
      </a:lt2>
      <a:accent1>
        <a:srgbClr val="FFCA08"/>
      </a:accent1>
      <a:accent2>
        <a:srgbClr val="F8931D"/>
      </a:accent2>
      <a:accent3>
        <a:srgbClr val="CE8D3E"/>
      </a:accent3>
      <a:accent4>
        <a:srgbClr val="EC7016"/>
      </a:accent4>
      <a:accent5>
        <a:srgbClr val="E64823"/>
      </a:accent5>
      <a:accent6>
        <a:srgbClr val="9C6A6A"/>
      </a:accent6>
      <a:hlink>
        <a:srgbClr val="2998E3"/>
      </a:hlink>
      <a:folHlink>
        <a:srgbClr val="7F723D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0"/>
  <sheetViews>
    <sheetView zoomScale="110" zoomScaleNormal="110" workbookViewId="0">
      <selection activeCell="AB20" activeCellId="3" sqref="A20:A29 J20:J29 S20:S29 AB20:AB29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</cols>
  <sheetData>
    <row r="1" spans="1:28" x14ac:dyDescent="0.3">
      <c r="A1" s="137" t="s">
        <v>39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9"/>
    </row>
    <row r="2" spans="1:28" x14ac:dyDescent="0.3">
      <c r="A2" s="140" t="s">
        <v>27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2"/>
    </row>
    <row r="3" spans="1:28" ht="15" thickBot="1" x14ac:dyDescent="0.35">
      <c r="A3" s="143" t="s">
        <v>40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5"/>
    </row>
    <row r="4" spans="1:28" ht="3.7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10" customFormat="1" ht="21" customHeight="1" x14ac:dyDescent="0.3">
      <c r="A5" s="148" t="s">
        <v>0</v>
      </c>
      <c r="B5" s="150" t="s">
        <v>22</v>
      </c>
      <c r="C5" s="146"/>
      <c r="D5" s="146"/>
      <c r="E5" s="146"/>
      <c r="F5" s="146"/>
      <c r="G5" s="146"/>
      <c r="H5" s="146"/>
      <c r="I5" s="146"/>
      <c r="J5" s="147"/>
      <c r="K5" s="146" t="s">
        <v>1</v>
      </c>
      <c r="L5" s="146"/>
      <c r="M5" s="146"/>
      <c r="N5" s="146"/>
      <c r="O5" s="146"/>
      <c r="P5" s="146"/>
      <c r="Q5" s="146"/>
      <c r="R5" s="146"/>
      <c r="S5" s="147"/>
      <c r="T5" s="150" t="s">
        <v>31</v>
      </c>
      <c r="U5" s="146"/>
      <c r="V5" s="146"/>
      <c r="W5" s="146"/>
      <c r="X5" s="146"/>
      <c r="Y5" s="146"/>
      <c r="Z5" s="146"/>
      <c r="AA5" s="146"/>
      <c r="AB5" s="147"/>
    </row>
    <row r="6" spans="1:28" s="10" customFormat="1" ht="21" customHeight="1" thickBot="1" x14ac:dyDescent="0.35">
      <c r="A6" s="149"/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3" t="s">
        <v>24</v>
      </c>
      <c r="H6" s="13" t="s">
        <v>23</v>
      </c>
      <c r="I6" s="14" t="s">
        <v>7</v>
      </c>
      <c r="J6" s="15" t="s">
        <v>8</v>
      </c>
      <c r="K6" s="16" t="s">
        <v>2</v>
      </c>
      <c r="L6" s="12" t="s">
        <v>3</v>
      </c>
      <c r="M6" s="12" t="s">
        <v>4</v>
      </c>
      <c r="N6" s="12" t="s">
        <v>5</v>
      </c>
      <c r="O6" s="12" t="s">
        <v>6</v>
      </c>
      <c r="P6" s="13" t="s">
        <v>24</v>
      </c>
      <c r="Q6" s="13" t="s">
        <v>23</v>
      </c>
      <c r="R6" s="14" t="s">
        <v>7</v>
      </c>
      <c r="S6" s="15" t="s">
        <v>8</v>
      </c>
      <c r="T6" s="11" t="s">
        <v>2</v>
      </c>
      <c r="U6" s="12" t="s">
        <v>3</v>
      </c>
      <c r="V6" s="12" t="s">
        <v>4</v>
      </c>
      <c r="W6" s="12" t="s">
        <v>5</v>
      </c>
      <c r="X6" s="12" t="s">
        <v>6</v>
      </c>
      <c r="Y6" s="13" t="s">
        <v>24</v>
      </c>
      <c r="Z6" s="13" t="s">
        <v>23</v>
      </c>
      <c r="AA6" s="14" t="s">
        <v>7</v>
      </c>
      <c r="AB6" s="15" t="s">
        <v>8</v>
      </c>
    </row>
    <row r="7" spans="1:28" s="10" customFormat="1" ht="21" customHeight="1" x14ac:dyDescent="0.3">
      <c r="A7" s="17" t="s">
        <v>42</v>
      </c>
      <c r="B7" s="22">
        <v>9.6999999999999993</v>
      </c>
      <c r="C7" s="23">
        <v>9.6999999999999993</v>
      </c>
      <c r="D7" s="23">
        <v>9.6</v>
      </c>
      <c r="E7" s="23">
        <v>9.6</v>
      </c>
      <c r="F7" s="23">
        <v>9.6999999999999993</v>
      </c>
      <c r="G7" s="18">
        <f>MAX(B7:F7)</f>
        <v>9.6999999999999993</v>
      </c>
      <c r="H7" s="18">
        <f>MIN(B7:F7)</f>
        <v>9.6</v>
      </c>
      <c r="I7" s="19"/>
      <c r="J7" s="20">
        <f t="shared" ref="J7:J16" si="0">(SUM(B7:F7)-SUM(G7:I7))</f>
        <v>29</v>
      </c>
      <c r="K7" s="22">
        <v>9.9</v>
      </c>
      <c r="L7" s="23">
        <v>9.9</v>
      </c>
      <c r="M7" s="23">
        <v>9.8000000000000007</v>
      </c>
      <c r="N7" s="23">
        <v>10</v>
      </c>
      <c r="O7" s="23">
        <v>9.8000000000000007</v>
      </c>
      <c r="P7" s="18">
        <f>MAX(K7:O7)</f>
        <v>10</v>
      </c>
      <c r="Q7" s="18">
        <f>MIN(K7:O7)</f>
        <v>9.8000000000000007</v>
      </c>
      <c r="R7" s="19"/>
      <c r="S7" s="20">
        <f t="shared" ref="S7:S16" si="1">(SUM(K7:O7)-SUM(P7:R7))</f>
        <v>29.600000000000005</v>
      </c>
      <c r="T7" s="22">
        <v>9.6</v>
      </c>
      <c r="U7" s="23">
        <v>10</v>
      </c>
      <c r="V7" s="23">
        <v>9.6999999999999993</v>
      </c>
      <c r="W7" s="23">
        <v>9.6999999999999993</v>
      </c>
      <c r="X7" s="23">
        <v>9.8000000000000007</v>
      </c>
      <c r="Y7" s="18">
        <f>MAX(T7:X7)</f>
        <v>10</v>
      </c>
      <c r="Z7" s="18">
        <f>MIN(T7:X7)</f>
        <v>9.6</v>
      </c>
      <c r="AA7" s="19"/>
      <c r="AB7" s="20">
        <f t="shared" ref="AB7:AB16" si="2">(SUM(T7:X7)-SUM(Y7:AA7))</f>
        <v>29.199999999999996</v>
      </c>
    </row>
    <row r="8" spans="1:28" s="10" customFormat="1" ht="21" customHeight="1" x14ac:dyDescent="0.3">
      <c r="A8" s="21" t="s">
        <v>43</v>
      </c>
      <c r="B8" s="22">
        <v>9.3000000000000007</v>
      </c>
      <c r="C8" s="23">
        <v>9.3000000000000007</v>
      </c>
      <c r="D8" s="23">
        <v>9.6999999999999993</v>
      </c>
      <c r="E8" s="23">
        <v>9.4</v>
      </c>
      <c r="F8" s="23">
        <v>9.6</v>
      </c>
      <c r="G8" s="24">
        <f t="shared" ref="G8:G16" si="3">MAX(B8:F8)</f>
        <v>9.6999999999999993</v>
      </c>
      <c r="H8" s="24">
        <f t="shared" ref="H8:H16" si="4">MIN(B8:F8)</f>
        <v>9.3000000000000007</v>
      </c>
      <c r="I8" s="25"/>
      <c r="J8" s="26">
        <f t="shared" si="0"/>
        <v>28.300000000000004</v>
      </c>
      <c r="K8" s="22">
        <v>9.3000000000000007</v>
      </c>
      <c r="L8" s="23">
        <v>9.3000000000000007</v>
      </c>
      <c r="M8" s="23">
        <v>9.6999999999999993</v>
      </c>
      <c r="N8" s="23">
        <v>9.6</v>
      </c>
      <c r="O8" s="23">
        <v>9.6999999999999993</v>
      </c>
      <c r="P8" s="24">
        <f t="shared" ref="P8:P16" si="5">MAX(K8:O8)</f>
        <v>9.6999999999999993</v>
      </c>
      <c r="Q8" s="24">
        <f t="shared" ref="Q8:Q16" si="6">MIN(K8:O8)</f>
        <v>9.3000000000000007</v>
      </c>
      <c r="R8" s="25"/>
      <c r="S8" s="26">
        <f t="shared" si="1"/>
        <v>28.599999999999994</v>
      </c>
      <c r="T8" s="22">
        <v>9.3000000000000007</v>
      </c>
      <c r="U8" s="23">
        <v>9.4</v>
      </c>
      <c r="V8" s="23">
        <v>9.6999999999999993</v>
      </c>
      <c r="W8" s="23">
        <v>9.6999999999999993</v>
      </c>
      <c r="X8" s="23">
        <v>9.6999999999999993</v>
      </c>
      <c r="Y8" s="24">
        <f t="shared" ref="Y8:Y16" si="7">MAX(T8:X8)</f>
        <v>9.6999999999999993</v>
      </c>
      <c r="Z8" s="24">
        <f t="shared" ref="Z8:Z16" si="8">MIN(T8:X8)</f>
        <v>9.3000000000000007</v>
      </c>
      <c r="AA8" s="25"/>
      <c r="AB8" s="26">
        <f t="shared" si="2"/>
        <v>28.799999999999997</v>
      </c>
    </row>
    <row r="9" spans="1:28" s="10" customFormat="1" ht="21" customHeight="1" x14ac:dyDescent="0.3">
      <c r="A9" s="21" t="s">
        <v>62</v>
      </c>
      <c r="B9" s="22">
        <v>9.8000000000000007</v>
      </c>
      <c r="C9" s="23">
        <v>9.8000000000000007</v>
      </c>
      <c r="D9" s="23">
        <v>9.9</v>
      </c>
      <c r="E9" s="23">
        <v>9.8000000000000007</v>
      </c>
      <c r="F9" s="23">
        <v>9.9</v>
      </c>
      <c r="G9" s="24">
        <f t="shared" si="3"/>
        <v>9.9</v>
      </c>
      <c r="H9" s="24">
        <f t="shared" si="4"/>
        <v>9.8000000000000007</v>
      </c>
      <c r="I9" s="25"/>
      <c r="J9" s="26">
        <f t="shared" si="0"/>
        <v>29.499999999999993</v>
      </c>
      <c r="K9" s="22">
        <v>9.9</v>
      </c>
      <c r="L9" s="23">
        <v>10</v>
      </c>
      <c r="M9" s="23">
        <v>9.9</v>
      </c>
      <c r="N9" s="23">
        <v>9.9</v>
      </c>
      <c r="O9" s="23">
        <v>10</v>
      </c>
      <c r="P9" s="24">
        <f t="shared" si="5"/>
        <v>10</v>
      </c>
      <c r="Q9" s="24">
        <f t="shared" si="6"/>
        <v>9.9</v>
      </c>
      <c r="R9" s="25"/>
      <c r="S9" s="26">
        <f t="shared" si="1"/>
        <v>29.799999999999997</v>
      </c>
      <c r="T9" s="22">
        <v>10</v>
      </c>
      <c r="U9" s="23">
        <v>10</v>
      </c>
      <c r="V9" s="23">
        <v>10</v>
      </c>
      <c r="W9" s="23">
        <v>10</v>
      </c>
      <c r="X9" s="23">
        <v>10</v>
      </c>
      <c r="Y9" s="24">
        <f t="shared" si="7"/>
        <v>10</v>
      </c>
      <c r="Z9" s="24">
        <f t="shared" si="8"/>
        <v>10</v>
      </c>
      <c r="AA9" s="25"/>
      <c r="AB9" s="26">
        <f t="shared" si="2"/>
        <v>30</v>
      </c>
    </row>
    <row r="10" spans="1:28" s="10" customFormat="1" ht="21" customHeight="1" x14ac:dyDescent="0.3">
      <c r="A10" s="21" t="s">
        <v>45</v>
      </c>
      <c r="B10" s="22">
        <v>10</v>
      </c>
      <c r="C10" s="23">
        <v>9.8000000000000007</v>
      </c>
      <c r="D10" s="23">
        <v>9.6999999999999993</v>
      </c>
      <c r="E10" s="23">
        <v>9.9</v>
      </c>
      <c r="F10" s="23">
        <v>9.8000000000000007</v>
      </c>
      <c r="G10" s="24">
        <f t="shared" si="3"/>
        <v>10</v>
      </c>
      <c r="H10" s="24">
        <f t="shared" si="4"/>
        <v>9.6999999999999993</v>
      </c>
      <c r="I10" s="25"/>
      <c r="J10" s="26">
        <f t="shared" si="0"/>
        <v>29.500000000000004</v>
      </c>
      <c r="K10" s="22">
        <v>9.8000000000000007</v>
      </c>
      <c r="L10" s="23">
        <v>9.8000000000000007</v>
      </c>
      <c r="M10" s="23">
        <v>9.8000000000000007</v>
      </c>
      <c r="N10" s="23">
        <v>9.6</v>
      </c>
      <c r="O10" s="23">
        <v>9.9</v>
      </c>
      <c r="P10" s="24">
        <f t="shared" si="5"/>
        <v>9.9</v>
      </c>
      <c r="Q10" s="24">
        <f t="shared" si="6"/>
        <v>9.6</v>
      </c>
      <c r="R10" s="25"/>
      <c r="S10" s="26">
        <f t="shared" si="1"/>
        <v>29.4</v>
      </c>
      <c r="T10" s="22">
        <v>10</v>
      </c>
      <c r="U10" s="23">
        <v>10</v>
      </c>
      <c r="V10" s="23">
        <v>9.8000000000000007</v>
      </c>
      <c r="W10" s="23">
        <v>9.9</v>
      </c>
      <c r="X10" s="23">
        <v>10</v>
      </c>
      <c r="Y10" s="24">
        <f t="shared" si="7"/>
        <v>10</v>
      </c>
      <c r="Z10" s="24">
        <f t="shared" si="8"/>
        <v>9.8000000000000007</v>
      </c>
      <c r="AA10" s="25"/>
      <c r="AB10" s="26">
        <f t="shared" si="2"/>
        <v>29.900000000000002</v>
      </c>
    </row>
    <row r="11" spans="1:28" s="10" customFormat="1" ht="21" customHeight="1" x14ac:dyDescent="0.3">
      <c r="A11" s="21" t="s">
        <v>28</v>
      </c>
      <c r="B11" s="22">
        <v>9.6</v>
      </c>
      <c r="C11" s="23">
        <v>9.6999999999999993</v>
      </c>
      <c r="D11" s="23">
        <v>9.6999999999999993</v>
      </c>
      <c r="E11" s="23">
        <v>9.6</v>
      </c>
      <c r="F11" s="23">
        <v>9.6999999999999993</v>
      </c>
      <c r="G11" s="24">
        <f t="shared" si="3"/>
        <v>9.6999999999999993</v>
      </c>
      <c r="H11" s="24">
        <f t="shared" si="4"/>
        <v>9.6</v>
      </c>
      <c r="I11" s="25"/>
      <c r="J11" s="26">
        <f t="shared" si="0"/>
        <v>29</v>
      </c>
      <c r="K11" s="22">
        <v>9.5</v>
      </c>
      <c r="L11" s="23">
        <v>9.6</v>
      </c>
      <c r="M11" s="23">
        <v>9.6999999999999993</v>
      </c>
      <c r="N11" s="23">
        <v>9.5</v>
      </c>
      <c r="O11" s="23">
        <v>9.9</v>
      </c>
      <c r="P11" s="24">
        <f t="shared" si="5"/>
        <v>9.9</v>
      </c>
      <c r="Q11" s="24">
        <f t="shared" si="6"/>
        <v>9.5</v>
      </c>
      <c r="R11" s="25"/>
      <c r="S11" s="26">
        <f t="shared" si="1"/>
        <v>28.799999999999997</v>
      </c>
      <c r="T11" s="22">
        <v>10</v>
      </c>
      <c r="U11" s="23">
        <v>10</v>
      </c>
      <c r="V11" s="23">
        <v>9.8000000000000007</v>
      </c>
      <c r="W11" s="23">
        <v>10</v>
      </c>
      <c r="X11" s="23">
        <v>9.9</v>
      </c>
      <c r="Y11" s="24">
        <f t="shared" si="7"/>
        <v>10</v>
      </c>
      <c r="Z11" s="24">
        <f t="shared" si="8"/>
        <v>9.8000000000000007</v>
      </c>
      <c r="AA11" s="25"/>
      <c r="AB11" s="26">
        <f t="shared" si="2"/>
        <v>29.899999999999995</v>
      </c>
    </row>
    <row r="12" spans="1:28" s="10" customFormat="1" ht="21" customHeight="1" x14ac:dyDescent="0.3">
      <c r="A12" s="21" t="s">
        <v>46</v>
      </c>
      <c r="B12" s="22">
        <v>9.6</v>
      </c>
      <c r="C12" s="23">
        <v>9.4</v>
      </c>
      <c r="D12" s="23">
        <v>9.6</v>
      </c>
      <c r="E12" s="23">
        <v>9.6</v>
      </c>
      <c r="F12" s="23">
        <v>9.8000000000000007</v>
      </c>
      <c r="G12" s="24">
        <f t="shared" si="3"/>
        <v>9.8000000000000007</v>
      </c>
      <c r="H12" s="24">
        <f t="shared" si="4"/>
        <v>9.4</v>
      </c>
      <c r="I12" s="25"/>
      <c r="J12" s="26">
        <f t="shared" si="0"/>
        <v>28.799999999999997</v>
      </c>
      <c r="K12" s="22">
        <v>9.6</v>
      </c>
      <c r="L12" s="23">
        <v>9.6</v>
      </c>
      <c r="M12" s="23">
        <v>9.6</v>
      </c>
      <c r="N12" s="23">
        <v>9.8000000000000007</v>
      </c>
      <c r="O12" s="23">
        <v>9.6999999999999993</v>
      </c>
      <c r="P12" s="24">
        <f t="shared" si="5"/>
        <v>9.8000000000000007</v>
      </c>
      <c r="Q12" s="24">
        <f t="shared" si="6"/>
        <v>9.6</v>
      </c>
      <c r="R12" s="25"/>
      <c r="S12" s="26">
        <f t="shared" si="1"/>
        <v>28.9</v>
      </c>
      <c r="T12" s="22">
        <v>9.6999999999999993</v>
      </c>
      <c r="U12" s="23">
        <v>9.6999999999999993</v>
      </c>
      <c r="V12" s="23">
        <v>9.6</v>
      </c>
      <c r="W12" s="23">
        <v>9.9</v>
      </c>
      <c r="X12" s="23">
        <v>9.8000000000000007</v>
      </c>
      <c r="Y12" s="24">
        <f t="shared" si="7"/>
        <v>9.9</v>
      </c>
      <c r="Z12" s="24">
        <f t="shared" si="8"/>
        <v>9.6</v>
      </c>
      <c r="AA12" s="25"/>
      <c r="AB12" s="26">
        <f t="shared" si="2"/>
        <v>29.200000000000003</v>
      </c>
    </row>
    <row r="13" spans="1:28" s="10" customFormat="1" ht="21" customHeight="1" x14ac:dyDescent="0.3">
      <c r="A13" s="27" t="s">
        <v>47</v>
      </c>
      <c r="B13" s="22">
        <v>9.8000000000000007</v>
      </c>
      <c r="C13" s="23">
        <v>9.6999999999999993</v>
      </c>
      <c r="D13" s="23">
        <v>9.8000000000000007</v>
      </c>
      <c r="E13" s="23">
        <v>9.6999999999999993</v>
      </c>
      <c r="F13" s="23">
        <v>9.8000000000000007</v>
      </c>
      <c r="G13" s="24">
        <f t="shared" si="3"/>
        <v>9.8000000000000007</v>
      </c>
      <c r="H13" s="24">
        <f t="shared" si="4"/>
        <v>9.6999999999999993</v>
      </c>
      <c r="I13" s="25"/>
      <c r="J13" s="26">
        <f t="shared" si="0"/>
        <v>29.299999999999997</v>
      </c>
      <c r="K13" s="22">
        <v>9.6999999999999993</v>
      </c>
      <c r="L13" s="23">
        <v>10</v>
      </c>
      <c r="M13" s="23">
        <v>9.9</v>
      </c>
      <c r="N13" s="23">
        <v>9.9</v>
      </c>
      <c r="O13" s="23">
        <v>9.9</v>
      </c>
      <c r="P13" s="24">
        <f t="shared" si="5"/>
        <v>10</v>
      </c>
      <c r="Q13" s="24">
        <f t="shared" si="6"/>
        <v>9.6999999999999993</v>
      </c>
      <c r="R13" s="25"/>
      <c r="S13" s="26">
        <f t="shared" si="1"/>
        <v>29.7</v>
      </c>
      <c r="T13" s="22">
        <v>9.9</v>
      </c>
      <c r="U13" s="23">
        <v>9.8000000000000007</v>
      </c>
      <c r="V13" s="23">
        <v>10</v>
      </c>
      <c r="W13" s="23">
        <v>10</v>
      </c>
      <c r="X13" s="23">
        <v>9.9</v>
      </c>
      <c r="Y13" s="24">
        <f t="shared" si="7"/>
        <v>10</v>
      </c>
      <c r="Z13" s="24">
        <f t="shared" si="8"/>
        <v>9.8000000000000007</v>
      </c>
      <c r="AA13" s="25"/>
      <c r="AB13" s="26">
        <f t="shared" si="2"/>
        <v>29.8</v>
      </c>
    </row>
    <row r="14" spans="1:28" s="10" customFormat="1" ht="21" customHeight="1" x14ac:dyDescent="0.3">
      <c r="A14" s="21" t="s">
        <v>33</v>
      </c>
      <c r="B14" s="22">
        <v>9.6999999999999993</v>
      </c>
      <c r="C14" s="23">
        <v>9.6999999999999993</v>
      </c>
      <c r="D14" s="23">
        <v>9.8000000000000007</v>
      </c>
      <c r="E14" s="23">
        <v>9.8000000000000007</v>
      </c>
      <c r="F14" s="23">
        <v>9.9</v>
      </c>
      <c r="G14" s="24">
        <f t="shared" si="3"/>
        <v>9.9</v>
      </c>
      <c r="H14" s="24">
        <f t="shared" si="4"/>
        <v>9.6999999999999993</v>
      </c>
      <c r="I14" s="25"/>
      <c r="J14" s="26">
        <f t="shared" si="0"/>
        <v>29.299999999999997</v>
      </c>
      <c r="K14" s="22">
        <v>10</v>
      </c>
      <c r="L14" s="23">
        <v>9.8000000000000007</v>
      </c>
      <c r="M14" s="23">
        <v>10</v>
      </c>
      <c r="N14" s="23">
        <v>10</v>
      </c>
      <c r="O14" s="23">
        <v>9.6</v>
      </c>
      <c r="P14" s="24">
        <f t="shared" si="5"/>
        <v>10</v>
      </c>
      <c r="Q14" s="24">
        <f t="shared" si="6"/>
        <v>9.6</v>
      </c>
      <c r="R14" s="25"/>
      <c r="S14" s="26">
        <f t="shared" si="1"/>
        <v>29.799999999999997</v>
      </c>
      <c r="T14" s="22">
        <v>10</v>
      </c>
      <c r="U14" s="23">
        <v>10</v>
      </c>
      <c r="V14" s="23">
        <v>9.9</v>
      </c>
      <c r="W14" s="23">
        <v>10</v>
      </c>
      <c r="X14" s="23">
        <v>10</v>
      </c>
      <c r="Y14" s="24">
        <f t="shared" si="7"/>
        <v>10</v>
      </c>
      <c r="Z14" s="24">
        <f t="shared" si="8"/>
        <v>9.9</v>
      </c>
      <c r="AA14" s="25"/>
      <c r="AB14" s="26">
        <f t="shared" si="2"/>
        <v>30</v>
      </c>
    </row>
    <row r="15" spans="1:28" s="10" customFormat="1" ht="21" customHeight="1" x14ac:dyDescent="0.3">
      <c r="A15" s="21" t="s">
        <v>32</v>
      </c>
      <c r="B15" s="22">
        <v>9.6</v>
      </c>
      <c r="C15" s="23">
        <v>9.6999999999999993</v>
      </c>
      <c r="D15" s="23">
        <v>9.5</v>
      </c>
      <c r="E15" s="23">
        <v>9.6</v>
      </c>
      <c r="F15" s="23">
        <v>9.9</v>
      </c>
      <c r="G15" s="24">
        <f t="shared" si="3"/>
        <v>9.9</v>
      </c>
      <c r="H15" s="24">
        <f t="shared" si="4"/>
        <v>9.5</v>
      </c>
      <c r="I15" s="25"/>
      <c r="J15" s="26">
        <f t="shared" si="0"/>
        <v>28.9</v>
      </c>
      <c r="K15" s="22">
        <v>9.6999999999999993</v>
      </c>
      <c r="L15" s="23">
        <v>9.8000000000000007</v>
      </c>
      <c r="M15" s="23">
        <v>9.6999999999999993</v>
      </c>
      <c r="N15" s="23">
        <v>9.8000000000000007</v>
      </c>
      <c r="O15" s="23">
        <v>9.9</v>
      </c>
      <c r="P15" s="24">
        <f t="shared" si="5"/>
        <v>9.9</v>
      </c>
      <c r="Q15" s="24">
        <f t="shared" si="6"/>
        <v>9.6999999999999993</v>
      </c>
      <c r="R15" s="25"/>
      <c r="S15" s="26">
        <f t="shared" si="1"/>
        <v>29.299999999999997</v>
      </c>
      <c r="T15" s="22">
        <v>9.6</v>
      </c>
      <c r="U15" s="23">
        <v>9.9</v>
      </c>
      <c r="V15" s="23">
        <v>9.6999999999999993</v>
      </c>
      <c r="W15" s="23">
        <v>10</v>
      </c>
      <c r="X15" s="23">
        <v>10</v>
      </c>
      <c r="Y15" s="24">
        <f t="shared" si="7"/>
        <v>10</v>
      </c>
      <c r="Z15" s="24">
        <f t="shared" si="8"/>
        <v>9.6</v>
      </c>
      <c r="AA15" s="25"/>
      <c r="AB15" s="26">
        <f t="shared" si="2"/>
        <v>29.6</v>
      </c>
    </row>
    <row r="16" spans="1:28" s="10" customFormat="1" ht="21" customHeight="1" thickBot="1" x14ac:dyDescent="0.35">
      <c r="A16" s="40" t="s">
        <v>48</v>
      </c>
      <c r="B16" s="41">
        <v>9.8000000000000007</v>
      </c>
      <c r="C16" s="42">
        <v>9.6999999999999993</v>
      </c>
      <c r="D16" s="42">
        <v>9.6</v>
      </c>
      <c r="E16" s="42">
        <v>9.5</v>
      </c>
      <c r="F16" s="42">
        <v>9.8000000000000007</v>
      </c>
      <c r="G16" s="43">
        <f t="shared" si="3"/>
        <v>9.8000000000000007</v>
      </c>
      <c r="H16" s="43">
        <f t="shared" si="4"/>
        <v>9.5</v>
      </c>
      <c r="I16" s="44"/>
      <c r="J16" s="45">
        <f t="shared" si="0"/>
        <v>29.100000000000005</v>
      </c>
      <c r="K16" s="41">
        <v>9.8000000000000007</v>
      </c>
      <c r="L16" s="42">
        <v>9.8000000000000007</v>
      </c>
      <c r="M16" s="42">
        <v>9.6999999999999993</v>
      </c>
      <c r="N16" s="42">
        <v>9.8000000000000007</v>
      </c>
      <c r="O16" s="42">
        <v>10</v>
      </c>
      <c r="P16" s="43">
        <f t="shared" si="5"/>
        <v>10</v>
      </c>
      <c r="Q16" s="43">
        <f t="shared" si="6"/>
        <v>9.6999999999999993</v>
      </c>
      <c r="R16" s="44"/>
      <c r="S16" s="45">
        <f t="shared" si="1"/>
        <v>29.400000000000002</v>
      </c>
      <c r="T16" s="41">
        <v>9.9</v>
      </c>
      <c r="U16" s="42">
        <v>9.8000000000000007</v>
      </c>
      <c r="V16" s="42">
        <v>9.6999999999999993</v>
      </c>
      <c r="W16" s="42">
        <v>9.8000000000000007</v>
      </c>
      <c r="X16" s="42">
        <v>9.8000000000000007</v>
      </c>
      <c r="Y16" s="43">
        <f t="shared" si="7"/>
        <v>9.9</v>
      </c>
      <c r="Z16" s="43">
        <f t="shared" si="8"/>
        <v>9.6999999999999993</v>
      </c>
      <c r="AA16" s="44"/>
      <c r="AB16" s="45">
        <f t="shared" si="2"/>
        <v>29.4</v>
      </c>
    </row>
    <row r="17" spans="1:28" s="10" customFormat="1" ht="4.2" customHeight="1" thickBot="1" x14ac:dyDescent="0.35">
      <c r="A17" s="28"/>
      <c r="B17" s="29"/>
      <c r="C17" s="29"/>
      <c r="D17" s="29"/>
      <c r="E17" s="29"/>
      <c r="F17" s="29"/>
      <c r="G17" s="29"/>
      <c r="H17" s="29"/>
      <c r="I17" s="30"/>
      <c r="J17" s="31"/>
      <c r="K17" s="29"/>
      <c r="L17" s="29"/>
      <c r="M17" s="29"/>
      <c r="N17" s="29"/>
      <c r="O17" s="29"/>
      <c r="P17" s="29"/>
      <c r="Q17" s="29"/>
      <c r="R17" s="32"/>
      <c r="S17" s="31"/>
      <c r="T17" s="29"/>
      <c r="U17" s="29"/>
      <c r="V17" s="29"/>
      <c r="W17" s="29"/>
      <c r="X17" s="29"/>
      <c r="Y17" s="29"/>
      <c r="Z17" s="29"/>
      <c r="AA17" s="32"/>
      <c r="AB17" s="31"/>
    </row>
    <row r="18" spans="1:28" s="10" customFormat="1" ht="21" customHeight="1" x14ac:dyDescent="0.3">
      <c r="A18" s="148" t="s">
        <v>0</v>
      </c>
      <c r="B18" s="151" t="s">
        <v>21</v>
      </c>
      <c r="C18" s="152"/>
      <c r="D18" s="152"/>
      <c r="E18" s="152"/>
      <c r="F18" s="152"/>
      <c r="G18" s="152"/>
      <c r="H18" s="152"/>
      <c r="I18" s="152"/>
      <c r="J18" s="153"/>
      <c r="K18" s="146" t="s">
        <v>9</v>
      </c>
      <c r="L18" s="146"/>
      <c r="M18" s="146"/>
      <c r="N18" s="146"/>
      <c r="O18" s="146"/>
      <c r="P18" s="146"/>
      <c r="Q18" s="146"/>
      <c r="R18" s="146"/>
      <c r="S18" s="147"/>
      <c r="T18" s="146" t="s">
        <v>25</v>
      </c>
      <c r="U18" s="146"/>
      <c r="V18" s="146"/>
      <c r="W18" s="146"/>
      <c r="X18" s="146"/>
      <c r="Y18" s="146"/>
      <c r="Z18" s="146"/>
      <c r="AA18" s="146"/>
      <c r="AB18" s="147"/>
    </row>
    <row r="19" spans="1:28" s="10" customFormat="1" ht="21" customHeight="1" thickBot="1" x14ac:dyDescent="0.35">
      <c r="A19" s="149"/>
      <c r="B19" s="11" t="s">
        <v>2</v>
      </c>
      <c r="C19" s="12" t="s">
        <v>3</v>
      </c>
      <c r="D19" s="12" t="s">
        <v>4</v>
      </c>
      <c r="E19" s="12" t="s">
        <v>5</v>
      </c>
      <c r="F19" s="12" t="s">
        <v>6</v>
      </c>
      <c r="G19" s="13" t="s">
        <v>24</v>
      </c>
      <c r="H19" s="13" t="s">
        <v>23</v>
      </c>
      <c r="I19" s="14" t="s">
        <v>7</v>
      </c>
      <c r="J19" s="15" t="s">
        <v>8</v>
      </c>
      <c r="K19" s="12" t="s">
        <v>2</v>
      </c>
      <c r="L19" s="12" t="s">
        <v>3</v>
      </c>
      <c r="M19" s="12" t="s">
        <v>4</v>
      </c>
      <c r="N19" s="12" t="s">
        <v>5</v>
      </c>
      <c r="O19" s="12" t="s">
        <v>6</v>
      </c>
      <c r="P19" s="13" t="s">
        <v>24</v>
      </c>
      <c r="Q19" s="13" t="s">
        <v>23</v>
      </c>
      <c r="R19" s="14" t="s">
        <v>7</v>
      </c>
      <c r="S19" s="15" t="s">
        <v>8</v>
      </c>
      <c r="T19" s="12" t="s">
        <v>2</v>
      </c>
      <c r="U19" s="12" t="s">
        <v>3</v>
      </c>
      <c r="V19" s="12" t="s">
        <v>4</v>
      </c>
      <c r="W19" s="12" t="s">
        <v>5</v>
      </c>
      <c r="X19" s="12" t="s">
        <v>6</v>
      </c>
      <c r="Y19" s="13" t="s">
        <v>24</v>
      </c>
      <c r="Z19" s="13" t="s">
        <v>23</v>
      </c>
      <c r="AA19" s="14" t="s">
        <v>7</v>
      </c>
      <c r="AB19" s="15" t="s">
        <v>8</v>
      </c>
    </row>
    <row r="20" spans="1:28" s="10" customFormat="1" ht="21" customHeight="1" x14ac:dyDescent="0.3">
      <c r="A20" s="17" t="s">
        <v>42</v>
      </c>
      <c r="B20" s="22">
        <v>9.8000000000000007</v>
      </c>
      <c r="C20" s="23">
        <v>10</v>
      </c>
      <c r="D20" s="23">
        <v>9.9</v>
      </c>
      <c r="E20" s="23">
        <v>9.9</v>
      </c>
      <c r="F20" s="23">
        <v>10</v>
      </c>
      <c r="G20" s="18">
        <f>MAX(B20:F20)</f>
        <v>10</v>
      </c>
      <c r="H20" s="18">
        <f>MIN(B20:F20)</f>
        <v>9.8000000000000007</v>
      </c>
      <c r="I20" s="19"/>
      <c r="J20" s="20">
        <f>(SUM(B20:F20)-SUM(G20:I20))</f>
        <v>29.8</v>
      </c>
      <c r="K20" s="22">
        <v>9.6999999999999993</v>
      </c>
      <c r="L20" s="23">
        <v>9.8000000000000007</v>
      </c>
      <c r="M20" s="23">
        <v>9.6999999999999993</v>
      </c>
      <c r="N20" s="23">
        <v>9.5</v>
      </c>
      <c r="O20" s="23">
        <v>9.6999999999999993</v>
      </c>
      <c r="P20" s="18">
        <f>MAX(K20:O20)</f>
        <v>9.8000000000000007</v>
      </c>
      <c r="Q20" s="18">
        <f>MIN(K20:O20)</f>
        <v>9.5</v>
      </c>
      <c r="R20" s="19"/>
      <c r="S20" s="20">
        <f>(SUM(K20:O20)-SUM(P20:R20))</f>
        <v>29.100000000000005</v>
      </c>
      <c r="T20" s="22">
        <v>10</v>
      </c>
      <c r="U20" s="23">
        <v>10</v>
      </c>
      <c r="V20" s="23">
        <v>10</v>
      </c>
      <c r="W20" s="23">
        <v>10</v>
      </c>
      <c r="X20" s="23">
        <v>10</v>
      </c>
      <c r="Y20" s="18">
        <f>MAX(T20:X20)</f>
        <v>10</v>
      </c>
      <c r="Z20" s="18">
        <f>MIN(T20:X20)</f>
        <v>10</v>
      </c>
      <c r="AA20" s="19"/>
      <c r="AB20" s="20">
        <f t="shared" ref="AB20:AB29" si="9">(SUM(T20:X20)-SUM(Y20:AA20))</f>
        <v>30</v>
      </c>
    </row>
    <row r="21" spans="1:28" s="10" customFormat="1" ht="21" customHeight="1" x14ac:dyDescent="0.3">
      <c r="A21" s="21" t="s">
        <v>43</v>
      </c>
      <c r="B21" s="22">
        <v>9.5</v>
      </c>
      <c r="C21" s="23">
        <v>9.4</v>
      </c>
      <c r="D21" s="23">
        <v>9.6</v>
      </c>
      <c r="E21" s="23">
        <v>9.4</v>
      </c>
      <c r="F21" s="23">
        <v>9.8000000000000007</v>
      </c>
      <c r="G21" s="24">
        <f t="shared" ref="G21:G29" si="10">MAX(B21:F21)</f>
        <v>9.8000000000000007</v>
      </c>
      <c r="H21" s="24">
        <f t="shared" ref="H21:H29" si="11">MIN(B21:F21)</f>
        <v>9.4</v>
      </c>
      <c r="I21" s="25"/>
      <c r="J21" s="26">
        <f t="shared" ref="J21:J29" si="12">(SUM(B21:F21)-SUM(G21:I21))</f>
        <v>28.5</v>
      </c>
      <c r="K21" s="22">
        <v>9.5</v>
      </c>
      <c r="L21" s="23">
        <v>9.3000000000000007</v>
      </c>
      <c r="M21" s="23">
        <v>9.6999999999999993</v>
      </c>
      <c r="N21" s="23">
        <v>9.6</v>
      </c>
      <c r="O21" s="23">
        <v>9.8000000000000007</v>
      </c>
      <c r="P21" s="24">
        <f t="shared" ref="P21:P29" si="13">MAX(K21:O21)</f>
        <v>9.8000000000000007</v>
      </c>
      <c r="Q21" s="24">
        <f t="shared" ref="Q21:Q29" si="14">MIN(K21:O21)</f>
        <v>9.3000000000000007</v>
      </c>
      <c r="R21" s="25"/>
      <c r="S21" s="26">
        <f t="shared" ref="S21:S29" si="15">(SUM(K21:O21)-SUM(P21:R21))</f>
        <v>28.800000000000004</v>
      </c>
      <c r="T21" s="22">
        <v>9.6999999999999993</v>
      </c>
      <c r="U21" s="23">
        <v>9.5</v>
      </c>
      <c r="V21" s="23">
        <v>10</v>
      </c>
      <c r="W21" s="23">
        <v>10</v>
      </c>
      <c r="X21" s="23">
        <v>10</v>
      </c>
      <c r="Y21" s="24">
        <f t="shared" ref="Y21:Y29" si="16">MAX(T21:X21)</f>
        <v>10</v>
      </c>
      <c r="Z21" s="24">
        <f t="shared" ref="Z21:Z29" si="17">MIN(T21:X21)</f>
        <v>9.5</v>
      </c>
      <c r="AA21" s="25"/>
      <c r="AB21" s="26">
        <f t="shared" si="9"/>
        <v>29.700000000000003</v>
      </c>
    </row>
    <row r="22" spans="1:28" s="10" customFormat="1" ht="21" customHeight="1" x14ac:dyDescent="0.3">
      <c r="A22" s="21" t="s">
        <v>62</v>
      </c>
      <c r="B22" s="22">
        <v>10</v>
      </c>
      <c r="C22" s="23">
        <v>10</v>
      </c>
      <c r="D22" s="23">
        <v>10</v>
      </c>
      <c r="E22" s="23">
        <v>10</v>
      </c>
      <c r="F22" s="23">
        <v>10</v>
      </c>
      <c r="G22" s="24">
        <f t="shared" si="10"/>
        <v>10</v>
      </c>
      <c r="H22" s="24">
        <f t="shared" si="11"/>
        <v>10</v>
      </c>
      <c r="I22" s="25"/>
      <c r="J22" s="26">
        <f t="shared" si="12"/>
        <v>30</v>
      </c>
      <c r="K22" s="22">
        <v>10</v>
      </c>
      <c r="L22" s="23">
        <v>10</v>
      </c>
      <c r="M22" s="23">
        <v>10</v>
      </c>
      <c r="N22" s="23">
        <v>9.8000000000000007</v>
      </c>
      <c r="O22" s="23">
        <v>10</v>
      </c>
      <c r="P22" s="24">
        <f t="shared" si="13"/>
        <v>10</v>
      </c>
      <c r="Q22" s="24">
        <f t="shared" si="14"/>
        <v>9.8000000000000007</v>
      </c>
      <c r="R22" s="25"/>
      <c r="S22" s="26">
        <f t="shared" si="15"/>
        <v>29.999999999999996</v>
      </c>
      <c r="T22" s="22">
        <v>9.9</v>
      </c>
      <c r="U22" s="23">
        <v>10</v>
      </c>
      <c r="V22" s="23">
        <v>10</v>
      </c>
      <c r="W22" s="23">
        <v>10</v>
      </c>
      <c r="X22" s="23">
        <v>10</v>
      </c>
      <c r="Y22" s="24">
        <f t="shared" si="16"/>
        <v>10</v>
      </c>
      <c r="Z22" s="24">
        <f t="shared" si="17"/>
        <v>9.9</v>
      </c>
      <c r="AA22" s="25"/>
      <c r="AB22" s="26">
        <f t="shared" si="9"/>
        <v>30</v>
      </c>
    </row>
    <row r="23" spans="1:28" s="10" customFormat="1" ht="21" customHeight="1" x14ac:dyDescent="0.3">
      <c r="A23" s="21" t="s">
        <v>45</v>
      </c>
      <c r="B23" s="22">
        <v>10</v>
      </c>
      <c r="C23" s="23">
        <v>9.9</v>
      </c>
      <c r="D23" s="23">
        <v>10</v>
      </c>
      <c r="E23" s="23">
        <v>10</v>
      </c>
      <c r="F23" s="23">
        <v>10</v>
      </c>
      <c r="G23" s="24">
        <f t="shared" si="10"/>
        <v>10</v>
      </c>
      <c r="H23" s="24">
        <f t="shared" si="11"/>
        <v>9.9</v>
      </c>
      <c r="I23" s="25"/>
      <c r="J23" s="26">
        <f t="shared" si="12"/>
        <v>30</v>
      </c>
      <c r="K23" s="22">
        <v>10</v>
      </c>
      <c r="L23" s="23">
        <v>9.8000000000000007</v>
      </c>
      <c r="M23" s="23">
        <v>9.6999999999999993</v>
      </c>
      <c r="N23" s="23">
        <v>9.9</v>
      </c>
      <c r="O23" s="23">
        <v>10</v>
      </c>
      <c r="P23" s="24">
        <f t="shared" si="13"/>
        <v>10</v>
      </c>
      <c r="Q23" s="24">
        <f t="shared" si="14"/>
        <v>9.6999999999999993</v>
      </c>
      <c r="R23" s="25"/>
      <c r="S23" s="26">
        <f t="shared" si="15"/>
        <v>29.7</v>
      </c>
      <c r="T23" s="22">
        <v>10</v>
      </c>
      <c r="U23" s="23">
        <v>10</v>
      </c>
      <c r="V23" s="23">
        <v>10</v>
      </c>
      <c r="W23" s="23">
        <v>10</v>
      </c>
      <c r="X23" s="23">
        <v>10</v>
      </c>
      <c r="Y23" s="24">
        <f t="shared" si="16"/>
        <v>10</v>
      </c>
      <c r="Z23" s="24">
        <f t="shared" si="17"/>
        <v>10</v>
      </c>
      <c r="AA23" s="25"/>
      <c r="AB23" s="26">
        <f t="shared" si="9"/>
        <v>30</v>
      </c>
    </row>
    <row r="24" spans="1:28" s="10" customFormat="1" ht="21" customHeight="1" x14ac:dyDescent="0.3">
      <c r="A24" s="21" t="s">
        <v>28</v>
      </c>
      <c r="B24" s="22">
        <v>10</v>
      </c>
      <c r="C24" s="23">
        <v>10</v>
      </c>
      <c r="D24" s="23">
        <v>9.8000000000000007</v>
      </c>
      <c r="E24" s="23">
        <v>9.8000000000000007</v>
      </c>
      <c r="F24" s="23">
        <v>10</v>
      </c>
      <c r="G24" s="24">
        <f t="shared" si="10"/>
        <v>10</v>
      </c>
      <c r="H24" s="24">
        <f t="shared" si="11"/>
        <v>9.8000000000000007</v>
      </c>
      <c r="I24" s="25"/>
      <c r="J24" s="26">
        <f t="shared" si="12"/>
        <v>29.8</v>
      </c>
      <c r="K24" s="22">
        <v>9.5</v>
      </c>
      <c r="L24" s="23">
        <v>9.8000000000000007</v>
      </c>
      <c r="M24" s="23">
        <v>10</v>
      </c>
      <c r="N24" s="23">
        <v>9.9</v>
      </c>
      <c r="O24" s="23">
        <v>9.9</v>
      </c>
      <c r="P24" s="24">
        <f t="shared" si="13"/>
        <v>10</v>
      </c>
      <c r="Q24" s="24">
        <f t="shared" si="14"/>
        <v>9.5</v>
      </c>
      <c r="R24" s="25"/>
      <c r="S24" s="26">
        <f t="shared" si="15"/>
        <v>29.6</v>
      </c>
      <c r="T24" s="22">
        <v>9.6999999999999993</v>
      </c>
      <c r="U24" s="23">
        <v>10</v>
      </c>
      <c r="V24" s="23">
        <v>9.9</v>
      </c>
      <c r="W24" s="23">
        <v>9.9</v>
      </c>
      <c r="X24" s="23">
        <v>10</v>
      </c>
      <c r="Y24" s="24">
        <f t="shared" si="16"/>
        <v>10</v>
      </c>
      <c r="Z24" s="24">
        <f t="shared" si="17"/>
        <v>9.6999999999999993</v>
      </c>
      <c r="AA24" s="25"/>
      <c r="AB24" s="26">
        <f t="shared" si="9"/>
        <v>29.8</v>
      </c>
    </row>
    <row r="25" spans="1:28" s="10" customFormat="1" ht="21" customHeight="1" x14ac:dyDescent="0.3">
      <c r="A25" s="21" t="s">
        <v>46</v>
      </c>
      <c r="B25" s="22">
        <v>9.6999999999999993</v>
      </c>
      <c r="C25" s="23">
        <v>10</v>
      </c>
      <c r="D25" s="23">
        <v>9.6999999999999993</v>
      </c>
      <c r="E25" s="23">
        <v>9.6999999999999993</v>
      </c>
      <c r="F25" s="23">
        <v>10</v>
      </c>
      <c r="G25" s="24">
        <f t="shared" si="10"/>
        <v>10</v>
      </c>
      <c r="H25" s="24">
        <f t="shared" si="11"/>
        <v>9.6999999999999993</v>
      </c>
      <c r="I25" s="25"/>
      <c r="J25" s="26">
        <f t="shared" si="12"/>
        <v>29.399999999999995</v>
      </c>
      <c r="K25" s="22">
        <v>9.8000000000000007</v>
      </c>
      <c r="L25" s="23">
        <v>9.6</v>
      </c>
      <c r="M25" s="23">
        <v>9.6999999999999993</v>
      </c>
      <c r="N25" s="23">
        <v>9.9</v>
      </c>
      <c r="O25" s="23">
        <v>9.8000000000000007</v>
      </c>
      <c r="P25" s="24">
        <f t="shared" si="13"/>
        <v>9.9</v>
      </c>
      <c r="Q25" s="24">
        <f t="shared" si="14"/>
        <v>9.6</v>
      </c>
      <c r="R25" s="25"/>
      <c r="S25" s="26">
        <f t="shared" si="15"/>
        <v>29.299999999999997</v>
      </c>
      <c r="T25" s="22">
        <v>9.8000000000000007</v>
      </c>
      <c r="U25" s="23">
        <v>10</v>
      </c>
      <c r="V25" s="23">
        <v>9.9</v>
      </c>
      <c r="W25" s="23">
        <v>9.9</v>
      </c>
      <c r="X25" s="23">
        <v>10</v>
      </c>
      <c r="Y25" s="24">
        <f t="shared" si="16"/>
        <v>10</v>
      </c>
      <c r="Z25" s="24">
        <f t="shared" si="17"/>
        <v>9.8000000000000007</v>
      </c>
      <c r="AA25" s="25"/>
      <c r="AB25" s="26">
        <f t="shared" si="9"/>
        <v>29.8</v>
      </c>
    </row>
    <row r="26" spans="1:28" s="10" customFormat="1" ht="21" customHeight="1" x14ac:dyDescent="0.3">
      <c r="A26" s="27" t="s">
        <v>47</v>
      </c>
      <c r="B26" s="22">
        <v>9.6999999999999993</v>
      </c>
      <c r="C26" s="23">
        <v>10</v>
      </c>
      <c r="D26" s="23">
        <v>10</v>
      </c>
      <c r="E26" s="23">
        <v>9.9</v>
      </c>
      <c r="F26" s="23">
        <v>10</v>
      </c>
      <c r="G26" s="24">
        <f t="shared" si="10"/>
        <v>10</v>
      </c>
      <c r="H26" s="24">
        <f t="shared" si="11"/>
        <v>9.6999999999999993</v>
      </c>
      <c r="I26" s="25"/>
      <c r="J26" s="26">
        <f t="shared" si="12"/>
        <v>29.900000000000002</v>
      </c>
      <c r="K26" s="22">
        <v>9.9</v>
      </c>
      <c r="L26" s="23">
        <v>10</v>
      </c>
      <c r="M26" s="23">
        <v>10</v>
      </c>
      <c r="N26" s="23">
        <v>10</v>
      </c>
      <c r="O26" s="23">
        <v>10</v>
      </c>
      <c r="P26" s="24">
        <f t="shared" si="13"/>
        <v>10</v>
      </c>
      <c r="Q26" s="24">
        <f t="shared" si="14"/>
        <v>9.9</v>
      </c>
      <c r="R26" s="25"/>
      <c r="S26" s="26">
        <f t="shared" si="15"/>
        <v>30</v>
      </c>
      <c r="T26" s="22">
        <v>9.9</v>
      </c>
      <c r="U26" s="23">
        <v>9.8000000000000007</v>
      </c>
      <c r="V26" s="23">
        <v>10</v>
      </c>
      <c r="W26" s="23">
        <v>10</v>
      </c>
      <c r="X26" s="23">
        <v>10</v>
      </c>
      <c r="Y26" s="24">
        <f t="shared" si="16"/>
        <v>10</v>
      </c>
      <c r="Z26" s="24">
        <f t="shared" si="17"/>
        <v>9.8000000000000007</v>
      </c>
      <c r="AA26" s="25"/>
      <c r="AB26" s="26">
        <f t="shared" si="9"/>
        <v>29.900000000000002</v>
      </c>
    </row>
    <row r="27" spans="1:28" s="10" customFormat="1" ht="21" customHeight="1" x14ac:dyDescent="0.3">
      <c r="A27" s="21" t="s">
        <v>33</v>
      </c>
      <c r="B27" s="22">
        <v>10</v>
      </c>
      <c r="C27" s="23">
        <v>9.8000000000000007</v>
      </c>
      <c r="D27" s="23">
        <v>9.8000000000000007</v>
      </c>
      <c r="E27" s="23">
        <v>10</v>
      </c>
      <c r="F27" s="23">
        <v>9.9</v>
      </c>
      <c r="G27" s="24">
        <f t="shared" si="10"/>
        <v>10</v>
      </c>
      <c r="H27" s="24">
        <f t="shared" si="11"/>
        <v>9.8000000000000007</v>
      </c>
      <c r="I27" s="25"/>
      <c r="J27" s="26">
        <f t="shared" si="12"/>
        <v>29.7</v>
      </c>
      <c r="K27" s="22">
        <v>10</v>
      </c>
      <c r="L27" s="23">
        <v>9.8000000000000007</v>
      </c>
      <c r="M27" s="23">
        <v>9.8000000000000007</v>
      </c>
      <c r="N27" s="23">
        <v>9.9</v>
      </c>
      <c r="O27" s="23">
        <v>9.8000000000000007</v>
      </c>
      <c r="P27" s="24">
        <f t="shared" si="13"/>
        <v>10</v>
      </c>
      <c r="Q27" s="24">
        <f t="shared" si="14"/>
        <v>9.8000000000000007</v>
      </c>
      <c r="R27" s="25"/>
      <c r="S27" s="26">
        <f t="shared" si="15"/>
        <v>29.499999999999996</v>
      </c>
      <c r="T27" s="22">
        <v>10</v>
      </c>
      <c r="U27" s="23">
        <v>10</v>
      </c>
      <c r="V27" s="23">
        <v>10</v>
      </c>
      <c r="W27" s="23">
        <v>10</v>
      </c>
      <c r="X27" s="23">
        <v>10</v>
      </c>
      <c r="Y27" s="24">
        <f t="shared" si="16"/>
        <v>10</v>
      </c>
      <c r="Z27" s="24">
        <f t="shared" si="17"/>
        <v>10</v>
      </c>
      <c r="AA27" s="25"/>
      <c r="AB27" s="26">
        <f t="shared" si="9"/>
        <v>30</v>
      </c>
    </row>
    <row r="28" spans="1:28" s="10" customFormat="1" ht="21" customHeight="1" x14ac:dyDescent="0.3">
      <c r="A28" s="21" t="s">
        <v>32</v>
      </c>
      <c r="B28" s="22">
        <v>10</v>
      </c>
      <c r="C28" s="23">
        <v>10</v>
      </c>
      <c r="D28" s="23">
        <v>9.6</v>
      </c>
      <c r="E28" s="23">
        <v>9.9</v>
      </c>
      <c r="F28" s="23">
        <v>9.9</v>
      </c>
      <c r="G28" s="24">
        <f t="shared" si="10"/>
        <v>10</v>
      </c>
      <c r="H28" s="24">
        <f t="shared" si="11"/>
        <v>9.6</v>
      </c>
      <c r="I28" s="25"/>
      <c r="J28" s="26">
        <f t="shared" si="12"/>
        <v>29.799999999999997</v>
      </c>
      <c r="K28" s="22">
        <v>9.9</v>
      </c>
      <c r="L28" s="23">
        <v>9.6999999999999993</v>
      </c>
      <c r="M28" s="23">
        <v>9.6</v>
      </c>
      <c r="N28" s="23">
        <v>10</v>
      </c>
      <c r="O28" s="23">
        <v>9.9</v>
      </c>
      <c r="P28" s="24">
        <f t="shared" si="13"/>
        <v>10</v>
      </c>
      <c r="Q28" s="24">
        <f t="shared" si="14"/>
        <v>9.6</v>
      </c>
      <c r="R28" s="25"/>
      <c r="S28" s="26">
        <f t="shared" si="15"/>
        <v>29.5</v>
      </c>
      <c r="T28" s="22">
        <v>10</v>
      </c>
      <c r="U28" s="23">
        <v>9.8000000000000007</v>
      </c>
      <c r="V28" s="23">
        <v>10</v>
      </c>
      <c r="W28" s="23">
        <v>10</v>
      </c>
      <c r="X28" s="23">
        <v>10</v>
      </c>
      <c r="Y28" s="24">
        <f t="shared" si="16"/>
        <v>10</v>
      </c>
      <c r="Z28" s="24">
        <f t="shared" si="17"/>
        <v>9.8000000000000007</v>
      </c>
      <c r="AA28" s="25"/>
      <c r="AB28" s="26">
        <f t="shared" si="9"/>
        <v>29.999999999999996</v>
      </c>
    </row>
    <row r="29" spans="1:28" s="10" customFormat="1" ht="21" customHeight="1" thickBot="1" x14ac:dyDescent="0.35">
      <c r="A29" s="40" t="s">
        <v>48</v>
      </c>
      <c r="B29" s="41">
        <v>9.9</v>
      </c>
      <c r="C29" s="42">
        <v>10</v>
      </c>
      <c r="D29" s="42">
        <v>9.8000000000000007</v>
      </c>
      <c r="E29" s="42">
        <v>9.8000000000000007</v>
      </c>
      <c r="F29" s="42">
        <v>10</v>
      </c>
      <c r="G29" s="43">
        <f t="shared" si="10"/>
        <v>10</v>
      </c>
      <c r="H29" s="43">
        <f t="shared" si="11"/>
        <v>9.8000000000000007</v>
      </c>
      <c r="I29" s="44"/>
      <c r="J29" s="45">
        <f t="shared" si="12"/>
        <v>29.7</v>
      </c>
      <c r="K29" s="41">
        <v>9.6999999999999993</v>
      </c>
      <c r="L29" s="42">
        <v>9.9</v>
      </c>
      <c r="M29" s="42">
        <v>9.6999999999999993</v>
      </c>
      <c r="N29" s="42">
        <v>9.8000000000000007</v>
      </c>
      <c r="O29" s="42">
        <v>9.8000000000000007</v>
      </c>
      <c r="P29" s="43">
        <f t="shared" si="13"/>
        <v>9.9</v>
      </c>
      <c r="Q29" s="43">
        <f t="shared" si="14"/>
        <v>9.6999999999999993</v>
      </c>
      <c r="R29" s="44"/>
      <c r="S29" s="45">
        <f t="shared" si="15"/>
        <v>29.300000000000004</v>
      </c>
      <c r="T29" s="41">
        <v>10</v>
      </c>
      <c r="U29" s="42">
        <v>10</v>
      </c>
      <c r="V29" s="42">
        <v>9.8000000000000007</v>
      </c>
      <c r="W29" s="42">
        <v>10</v>
      </c>
      <c r="X29" s="42">
        <v>10</v>
      </c>
      <c r="Y29" s="43">
        <f t="shared" si="16"/>
        <v>10</v>
      </c>
      <c r="Z29" s="43">
        <f t="shared" si="17"/>
        <v>9.8000000000000007</v>
      </c>
      <c r="AA29" s="44"/>
      <c r="AB29" s="45">
        <f t="shared" si="9"/>
        <v>29.999999999999996</v>
      </c>
    </row>
    <row r="30" spans="1:28" s="10" customFormat="1" ht="15" thickBot="1" x14ac:dyDescent="0.35"/>
    <row r="31" spans="1:28" s="10" customFormat="1" ht="21" customHeight="1" x14ac:dyDescent="0.3">
      <c r="A31" s="181" t="s">
        <v>37</v>
      </c>
      <c r="B31" s="196" t="s">
        <v>12</v>
      </c>
      <c r="C31" s="197"/>
      <c r="D31" s="150" t="s">
        <v>29</v>
      </c>
      <c r="E31" s="146"/>
      <c r="F31" s="146"/>
      <c r="G31" s="147"/>
      <c r="H31" s="187" t="s">
        <v>10</v>
      </c>
      <c r="I31" s="188"/>
      <c r="J31" s="33"/>
      <c r="K31" s="154" t="s">
        <v>41</v>
      </c>
      <c r="L31" s="154"/>
      <c r="M31" s="154"/>
      <c r="N31" s="154"/>
      <c r="O31" s="154"/>
      <c r="P31" s="154"/>
      <c r="Q31" s="154"/>
      <c r="R31" s="154"/>
      <c r="T31" s="183" t="s">
        <v>56</v>
      </c>
      <c r="U31" s="184"/>
      <c r="V31" s="184"/>
      <c r="W31" s="204" t="s">
        <v>49</v>
      </c>
      <c r="X31" s="204"/>
      <c r="Y31" s="204"/>
      <c r="Z31" s="204"/>
      <c r="AA31" s="204"/>
      <c r="AB31" s="205"/>
    </row>
    <row r="32" spans="1:28" s="10" customFormat="1" ht="21" customHeight="1" thickBot="1" x14ac:dyDescent="0.35">
      <c r="A32" s="182"/>
      <c r="B32" s="198"/>
      <c r="C32" s="199"/>
      <c r="D32" s="134" t="s">
        <v>30</v>
      </c>
      <c r="E32" s="135"/>
      <c r="F32" s="135"/>
      <c r="G32" s="136"/>
      <c r="H32" s="132" t="s">
        <v>13</v>
      </c>
      <c r="I32" s="133"/>
      <c r="J32" s="33"/>
      <c r="K32" s="34"/>
      <c r="L32" s="131" t="s">
        <v>26</v>
      </c>
      <c r="M32" s="131"/>
      <c r="N32" s="131"/>
      <c r="O32" s="131"/>
      <c r="P32" s="131"/>
      <c r="Q32" s="129" t="s">
        <v>10</v>
      </c>
      <c r="R32" s="130"/>
      <c r="T32" s="185" t="s">
        <v>57</v>
      </c>
      <c r="U32" s="186"/>
      <c r="V32" s="186"/>
      <c r="W32" s="206" t="s">
        <v>50</v>
      </c>
      <c r="X32" s="206"/>
      <c r="Y32" s="206"/>
      <c r="Z32" s="206"/>
      <c r="AA32" s="206"/>
      <c r="AB32" s="207"/>
    </row>
    <row r="33" spans="1:28" s="10" customFormat="1" ht="21" customHeight="1" x14ac:dyDescent="0.3">
      <c r="A33" s="17" t="s">
        <v>42</v>
      </c>
      <c r="B33" s="189">
        <v>0.5</v>
      </c>
      <c r="C33" s="190"/>
      <c r="D33" s="193" t="s">
        <v>54</v>
      </c>
      <c r="E33" s="194"/>
      <c r="F33" s="194"/>
      <c r="G33" s="195"/>
      <c r="H33" s="127">
        <f>SUM(J7,S7,AB7,J20,S20,AB20,-B33)</f>
        <v>176.20000000000002</v>
      </c>
      <c r="I33" s="128"/>
      <c r="J33" s="33"/>
      <c r="K33" s="57">
        <v>1</v>
      </c>
      <c r="L33" s="58" t="s">
        <v>62</v>
      </c>
      <c r="M33" s="59"/>
      <c r="N33" s="59"/>
      <c r="O33" s="59"/>
      <c r="P33" s="60"/>
      <c r="Q33" s="191">
        <v>179.3</v>
      </c>
      <c r="R33" s="192"/>
      <c r="T33" s="185" t="s">
        <v>58</v>
      </c>
      <c r="U33" s="186"/>
      <c r="V33" s="186"/>
      <c r="W33" s="206" t="s">
        <v>51</v>
      </c>
      <c r="X33" s="206"/>
      <c r="Y33" s="206"/>
      <c r="Z33" s="206"/>
      <c r="AA33" s="206"/>
      <c r="AB33" s="207"/>
    </row>
    <row r="34" spans="1:28" s="10" customFormat="1" ht="21" customHeight="1" x14ac:dyDescent="0.3">
      <c r="A34" s="21" t="s">
        <v>43</v>
      </c>
      <c r="B34" s="116">
        <v>0.2</v>
      </c>
      <c r="C34" s="117"/>
      <c r="D34" s="111" t="s">
        <v>55</v>
      </c>
      <c r="E34" s="112"/>
      <c r="F34" s="112"/>
      <c r="G34" s="113"/>
      <c r="H34" s="118">
        <f t="shared" ref="H34:H42" si="18">SUM(J8,S8,AB8,J21,S21,AB21)-B34</f>
        <v>172.5</v>
      </c>
      <c r="I34" s="119"/>
      <c r="J34" s="33"/>
      <c r="K34" s="61">
        <v>2</v>
      </c>
      <c r="L34" s="62" t="s">
        <v>47</v>
      </c>
      <c r="M34" s="63"/>
      <c r="N34" s="63"/>
      <c r="O34" s="63"/>
      <c r="P34" s="64"/>
      <c r="Q34" s="125">
        <v>178.6</v>
      </c>
      <c r="R34" s="126"/>
      <c r="T34" s="185" t="s">
        <v>59</v>
      </c>
      <c r="U34" s="186"/>
      <c r="V34" s="186"/>
      <c r="W34" s="206" t="s">
        <v>52</v>
      </c>
      <c r="X34" s="206"/>
      <c r="Y34" s="206"/>
      <c r="Z34" s="206"/>
      <c r="AA34" s="206"/>
      <c r="AB34" s="207"/>
    </row>
    <row r="35" spans="1:28" s="10" customFormat="1" ht="21" customHeight="1" thickBot="1" x14ac:dyDescent="0.35">
      <c r="A35" s="21" t="s">
        <v>62</v>
      </c>
      <c r="B35" s="116">
        <v>0</v>
      </c>
      <c r="C35" s="117"/>
      <c r="D35" s="111"/>
      <c r="E35" s="112"/>
      <c r="F35" s="112"/>
      <c r="G35" s="113"/>
      <c r="H35" s="118">
        <f t="shared" si="18"/>
        <v>179.29999999999998</v>
      </c>
      <c r="I35" s="119"/>
      <c r="J35" s="33"/>
      <c r="K35" s="61">
        <v>3</v>
      </c>
      <c r="L35" s="65" t="s">
        <v>45</v>
      </c>
      <c r="M35" s="65"/>
      <c r="N35" s="65"/>
      <c r="O35" s="65"/>
      <c r="P35" s="66"/>
      <c r="Q35" s="125">
        <v>178.5</v>
      </c>
      <c r="R35" s="126"/>
      <c r="T35" s="202" t="s">
        <v>60</v>
      </c>
      <c r="U35" s="203"/>
      <c r="V35" s="203"/>
      <c r="W35" s="208" t="s">
        <v>53</v>
      </c>
      <c r="X35" s="208"/>
      <c r="Y35" s="208"/>
      <c r="Z35" s="208"/>
      <c r="AA35" s="208"/>
      <c r="AB35" s="209"/>
    </row>
    <row r="36" spans="1:28" s="10" customFormat="1" ht="21" customHeight="1" x14ac:dyDescent="0.3">
      <c r="A36" s="21" t="s">
        <v>45</v>
      </c>
      <c r="B36" s="116">
        <v>0</v>
      </c>
      <c r="C36" s="117"/>
      <c r="D36" s="111"/>
      <c r="E36" s="112"/>
      <c r="F36" s="112"/>
      <c r="G36" s="113"/>
      <c r="H36" s="118">
        <f t="shared" si="18"/>
        <v>178.5</v>
      </c>
      <c r="I36" s="119"/>
      <c r="J36" s="33"/>
      <c r="K36" s="61">
        <v>4</v>
      </c>
      <c r="L36" s="67" t="s">
        <v>33</v>
      </c>
      <c r="M36" s="67"/>
      <c r="N36" s="67"/>
      <c r="O36" s="67"/>
      <c r="P36" s="68"/>
      <c r="Q36" s="125">
        <v>178.1</v>
      </c>
      <c r="R36" s="126"/>
    </row>
    <row r="37" spans="1:28" s="10" customFormat="1" ht="21" customHeight="1" x14ac:dyDescent="0.3">
      <c r="A37" s="21" t="s">
        <v>28</v>
      </c>
      <c r="B37" s="116">
        <v>0</v>
      </c>
      <c r="C37" s="117"/>
      <c r="D37" s="111"/>
      <c r="E37" s="112"/>
      <c r="F37" s="112"/>
      <c r="G37" s="113"/>
      <c r="H37" s="118">
        <f t="shared" si="18"/>
        <v>176.9</v>
      </c>
      <c r="I37" s="119"/>
      <c r="J37" s="33"/>
      <c r="K37" s="61">
        <v>5</v>
      </c>
      <c r="L37" s="67" t="s">
        <v>32</v>
      </c>
      <c r="M37" s="67"/>
      <c r="N37" s="67"/>
      <c r="O37" s="67"/>
      <c r="P37" s="68"/>
      <c r="Q37" s="125">
        <v>177.1</v>
      </c>
      <c r="R37" s="126"/>
    </row>
    <row r="38" spans="1:28" s="10" customFormat="1" ht="21" customHeight="1" x14ac:dyDescent="0.3">
      <c r="A38" s="21" t="s">
        <v>46</v>
      </c>
      <c r="B38" s="116">
        <v>0</v>
      </c>
      <c r="C38" s="117"/>
      <c r="D38" s="111"/>
      <c r="E38" s="112"/>
      <c r="F38" s="112"/>
      <c r="G38" s="113"/>
      <c r="H38" s="118">
        <f t="shared" si="18"/>
        <v>175.4</v>
      </c>
      <c r="I38" s="119"/>
      <c r="J38" s="33"/>
      <c r="K38" s="34">
        <v>6</v>
      </c>
      <c r="L38" s="35" t="s">
        <v>48</v>
      </c>
      <c r="M38" s="48"/>
      <c r="N38" s="48"/>
      <c r="O38" s="48"/>
      <c r="P38" s="37"/>
      <c r="Q38" s="39">
        <v>176.9</v>
      </c>
      <c r="R38" s="38"/>
      <c r="S38" s="200" t="s">
        <v>61</v>
      </c>
      <c r="T38" s="201"/>
      <c r="U38" s="201"/>
      <c r="V38" s="201"/>
      <c r="W38" s="201"/>
      <c r="X38" s="201"/>
      <c r="Y38" s="201"/>
    </row>
    <row r="39" spans="1:28" s="10" customFormat="1" ht="21" customHeight="1" x14ac:dyDescent="0.3">
      <c r="A39" s="27" t="s">
        <v>47</v>
      </c>
      <c r="B39" s="116">
        <v>0</v>
      </c>
      <c r="C39" s="117"/>
      <c r="D39" s="111"/>
      <c r="E39" s="112"/>
      <c r="F39" s="112"/>
      <c r="G39" s="113"/>
      <c r="H39" s="118">
        <f t="shared" si="18"/>
        <v>178.6</v>
      </c>
      <c r="I39" s="119"/>
      <c r="J39" s="33"/>
      <c r="K39" s="34">
        <v>7</v>
      </c>
      <c r="L39" s="35" t="s">
        <v>28</v>
      </c>
      <c r="M39" s="35"/>
      <c r="N39" s="35"/>
      <c r="O39" s="35"/>
      <c r="P39" s="36"/>
      <c r="Q39" s="2">
        <v>176.9</v>
      </c>
      <c r="R39" s="3"/>
    </row>
    <row r="40" spans="1:28" s="10" customFormat="1" ht="21" customHeight="1" x14ac:dyDescent="0.3">
      <c r="A40" s="21" t="s">
        <v>33</v>
      </c>
      <c r="B40" s="116">
        <v>0.2</v>
      </c>
      <c r="C40" s="117"/>
      <c r="D40" s="111" t="s">
        <v>55</v>
      </c>
      <c r="E40" s="112"/>
      <c r="F40" s="112"/>
      <c r="G40" s="113"/>
      <c r="H40" s="118">
        <f t="shared" si="18"/>
        <v>178.1</v>
      </c>
      <c r="I40" s="119"/>
      <c r="J40" s="33"/>
      <c r="K40" s="34">
        <v>8</v>
      </c>
      <c r="L40" s="46" t="s">
        <v>42</v>
      </c>
      <c r="M40" s="50"/>
      <c r="N40" s="50"/>
      <c r="O40" s="50"/>
      <c r="P40" s="51"/>
      <c r="Q40" s="39">
        <v>176.2</v>
      </c>
      <c r="R40" s="3"/>
    </row>
    <row r="41" spans="1:28" s="10" customFormat="1" ht="21" customHeight="1" x14ac:dyDescent="0.3">
      <c r="A41" s="21" t="s">
        <v>32</v>
      </c>
      <c r="B41" s="116">
        <v>0</v>
      </c>
      <c r="C41" s="117"/>
      <c r="D41" s="111"/>
      <c r="E41" s="112"/>
      <c r="F41" s="112"/>
      <c r="G41" s="113"/>
      <c r="H41" s="118">
        <f t="shared" si="18"/>
        <v>177.1</v>
      </c>
      <c r="I41" s="119"/>
      <c r="J41" s="33"/>
      <c r="K41" s="34">
        <v>9</v>
      </c>
      <c r="L41" s="48" t="s">
        <v>46</v>
      </c>
      <c r="M41" s="48"/>
      <c r="N41" s="48"/>
      <c r="O41" s="48"/>
      <c r="P41" s="37"/>
      <c r="Q41" s="52">
        <v>175.4</v>
      </c>
      <c r="R41" s="4"/>
    </row>
    <row r="42" spans="1:28" s="10" customFormat="1" ht="21" customHeight="1" thickBot="1" x14ac:dyDescent="0.35">
      <c r="A42" s="40" t="s">
        <v>48</v>
      </c>
      <c r="B42" s="120">
        <v>0</v>
      </c>
      <c r="C42" s="121"/>
      <c r="D42" s="122"/>
      <c r="E42" s="123"/>
      <c r="F42" s="123"/>
      <c r="G42" s="124"/>
      <c r="H42" s="114">
        <f t="shared" si="18"/>
        <v>176.9</v>
      </c>
      <c r="I42" s="115"/>
      <c r="J42" s="33"/>
      <c r="K42" s="34">
        <v>10</v>
      </c>
      <c r="L42" s="46" t="s">
        <v>43</v>
      </c>
      <c r="M42" s="46"/>
      <c r="N42" s="46"/>
      <c r="O42" s="46"/>
      <c r="P42" s="47"/>
      <c r="Q42" s="49">
        <v>172.5</v>
      </c>
      <c r="R42" s="3"/>
    </row>
    <row r="43" spans="1:28" s="10" customFormat="1" ht="21" customHeight="1" thickBot="1" x14ac:dyDescent="0.35"/>
    <row r="44" spans="1:28" s="10" customFormat="1" ht="21" customHeight="1" x14ac:dyDescent="0.3">
      <c r="L44" s="164" t="s">
        <v>14</v>
      </c>
      <c r="M44" s="165"/>
      <c r="N44" s="166"/>
      <c r="O44" s="167" t="s">
        <v>62</v>
      </c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9"/>
    </row>
    <row r="45" spans="1:28" s="10" customFormat="1" ht="21" customHeight="1" x14ac:dyDescent="0.3">
      <c r="L45" s="161" t="s">
        <v>15</v>
      </c>
      <c r="M45" s="162"/>
      <c r="N45" s="163"/>
      <c r="O45" s="170" t="s">
        <v>47</v>
      </c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2"/>
    </row>
    <row r="46" spans="1:28" s="10" customFormat="1" ht="21" customHeight="1" x14ac:dyDescent="0.3">
      <c r="L46" s="179" t="s">
        <v>16</v>
      </c>
      <c r="M46" s="154"/>
      <c r="N46" s="180"/>
      <c r="O46" s="173" t="s">
        <v>45</v>
      </c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</row>
    <row r="47" spans="1:28" s="10" customFormat="1" ht="21" customHeight="1" x14ac:dyDescent="0.3">
      <c r="L47" s="161" t="s">
        <v>17</v>
      </c>
      <c r="M47" s="162"/>
      <c r="N47" s="163"/>
      <c r="O47" s="170" t="s">
        <v>33</v>
      </c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2"/>
    </row>
    <row r="48" spans="1:28" s="10" customFormat="1" ht="21" customHeight="1" x14ac:dyDescent="0.3">
      <c r="L48" s="179" t="s">
        <v>18</v>
      </c>
      <c r="M48" s="154"/>
      <c r="N48" s="180"/>
      <c r="O48" s="173" t="s">
        <v>32</v>
      </c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5"/>
    </row>
    <row r="49" spans="12:28" s="10" customFormat="1" ht="21" customHeight="1" x14ac:dyDescent="0.3">
      <c r="L49" s="161" t="s">
        <v>19</v>
      </c>
      <c r="M49" s="162"/>
      <c r="N49" s="163"/>
      <c r="O49" s="155" t="s">
        <v>62</v>
      </c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7"/>
    </row>
    <row r="50" spans="12:28" s="10" customFormat="1" ht="21" customHeight="1" thickBot="1" x14ac:dyDescent="0.35">
      <c r="L50" s="176" t="s">
        <v>20</v>
      </c>
      <c r="M50" s="177"/>
      <c r="N50" s="178"/>
      <c r="O50" s="158" t="s">
        <v>47</v>
      </c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60"/>
    </row>
  </sheetData>
  <sortState xmlns:xlrd2="http://schemas.microsoft.com/office/spreadsheetml/2017/richdata2" ref="L33:Q42">
    <sortCondition descending="1" ref="Q33:Q42"/>
  </sortState>
  <mergeCells count="80">
    <mergeCell ref="S38:Y38"/>
    <mergeCell ref="T35:V35"/>
    <mergeCell ref="W31:AB31"/>
    <mergeCell ref="W32:AB32"/>
    <mergeCell ref="W33:AB33"/>
    <mergeCell ref="W34:AB34"/>
    <mergeCell ref="W35:AB35"/>
    <mergeCell ref="A31:A32"/>
    <mergeCell ref="T31:V31"/>
    <mergeCell ref="T32:V32"/>
    <mergeCell ref="T33:V33"/>
    <mergeCell ref="T34:V34"/>
    <mergeCell ref="H31:I31"/>
    <mergeCell ref="B33:C33"/>
    <mergeCell ref="B34:C34"/>
    <mergeCell ref="Q33:R33"/>
    <mergeCell ref="Q34:R34"/>
    <mergeCell ref="D33:G33"/>
    <mergeCell ref="D34:G34"/>
    <mergeCell ref="B31:C32"/>
    <mergeCell ref="D31:G31"/>
    <mergeCell ref="O49:AB49"/>
    <mergeCell ref="O50:AB50"/>
    <mergeCell ref="L45:N45"/>
    <mergeCell ref="L44:N44"/>
    <mergeCell ref="O44:AB44"/>
    <mergeCell ref="O45:AB45"/>
    <mergeCell ref="O46:AB46"/>
    <mergeCell ref="O48:AB48"/>
    <mergeCell ref="L50:N50"/>
    <mergeCell ref="L49:N49"/>
    <mergeCell ref="L48:N48"/>
    <mergeCell ref="L47:N47"/>
    <mergeCell ref="L46:N46"/>
    <mergeCell ref="O47:AB47"/>
    <mergeCell ref="B35:C35"/>
    <mergeCell ref="B36:C36"/>
    <mergeCell ref="B37:C37"/>
    <mergeCell ref="A1:AB1"/>
    <mergeCell ref="A2:AB2"/>
    <mergeCell ref="A3:AB3"/>
    <mergeCell ref="T18:AB18"/>
    <mergeCell ref="A18:A19"/>
    <mergeCell ref="T5:AB5"/>
    <mergeCell ref="A5:A6"/>
    <mergeCell ref="B5:J5"/>
    <mergeCell ref="K5:S5"/>
    <mergeCell ref="B18:J18"/>
    <mergeCell ref="K18:S18"/>
    <mergeCell ref="K31:R31"/>
    <mergeCell ref="H36:I36"/>
    <mergeCell ref="D35:G35"/>
    <mergeCell ref="H34:I34"/>
    <mergeCell ref="H33:I33"/>
    <mergeCell ref="Q32:R32"/>
    <mergeCell ref="L32:P32"/>
    <mergeCell ref="H32:I32"/>
    <mergeCell ref="D32:G32"/>
    <mergeCell ref="H35:I35"/>
    <mergeCell ref="H39:I39"/>
    <mergeCell ref="H37:I37"/>
    <mergeCell ref="Q35:R35"/>
    <mergeCell ref="Q36:R36"/>
    <mergeCell ref="Q37:R37"/>
    <mergeCell ref="D36:G36"/>
    <mergeCell ref="D37:G37"/>
    <mergeCell ref="D38:G38"/>
    <mergeCell ref="H42:I42"/>
    <mergeCell ref="B40:C40"/>
    <mergeCell ref="B41:C41"/>
    <mergeCell ref="H40:I40"/>
    <mergeCell ref="H41:I41"/>
    <mergeCell ref="D40:G40"/>
    <mergeCell ref="D41:G41"/>
    <mergeCell ref="B42:C42"/>
    <mergeCell ref="D42:G42"/>
    <mergeCell ref="B38:C38"/>
    <mergeCell ref="B39:C39"/>
    <mergeCell ref="D39:G39"/>
    <mergeCell ref="H38:I38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8AC1-64C9-4177-A48B-3B9F6A714F89}">
  <dimension ref="A1:AF50"/>
  <sheetViews>
    <sheetView zoomScale="130" zoomScaleNormal="130" workbookViewId="0">
      <selection activeCell="A20" sqref="A20:AB29"/>
    </sheetView>
  </sheetViews>
  <sheetFormatPr defaultRowHeight="14.4" x14ac:dyDescent="0.3"/>
  <cols>
    <col min="1" max="1" width="21.5546875" customWidth="1"/>
    <col min="2" max="2" width="4.88671875" customWidth="1"/>
    <col min="3" max="3" width="5" customWidth="1"/>
    <col min="4" max="5" width="4.44140625" customWidth="1"/>
    <col min="6" max="6" width="5" customWidth="1"/>
    <col min="7" max="7" width="4.6640625" customWidth="1"/>
    <col min="8" max="8" width="4.88671875" bestFit="1" customWidth="1"/>
    <col min="9" max="9" width="2" bestFit="1" customWidth="1"/>
    <col min="10" max="10" width="4.88671875" bestFit="1" customWidth="1"/>
    <col min="11" max="11" width="4.88671875" customWidth="1"/>
    <col min="12" max="12" width="5" customWidth="1"/>
    <col min="13" max="13" width="4.6640625" customWidth="1"/>
    <col min="14" max="14" width="5" customWidth="1"/>
    <col min="15" max="16" width="4.5546875" customWidth="1"/>
    <col min="17" max="17" width="4" customWidth="1"/>
    <col min="18" max="18" width="2" bestFit="1" customWidth="1"/>
    <col min="19" max="19" width="4.88671875" bestFit="1" customWidth="1"/>
    <col min="20" max="20" width="5" customWidth="1"/>
    <col min="21" max="21" width="4.5546875" customWidth="1"/>
    <col min="22" max="22" width="4.6640625" customWidth="1"/>
    <col min="23" max="23" width="4.5546875" customWidth="1"/>
    <col min="24" max="24" width="4.6640625" customWidth="1"/>
    <col min="25" max="26" width="4.5546875" customWidth="1"/>
    <col min="27" max="27" width="1.5546875" customWidth="1"/>
    <col min="28" max="28" width="4.6640625" customWidth="1"/>
  </cols>
  <sheetData>
    <row r="1" spans="1:32" x14ac:dyDescent="0.3">
      <c r="A1" s="137" t="s">
        <v>39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9"/>
      <c r="AF1">
        <v>9.9</v>
      </c>
    </row>
    <row r="2" spans="1:32" x14ac:dyDescent="0.3">
      <c r="A2" s="140" t="s">
        <v>64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2"/>
    </row>
    <row r="3" spans="1:32" ht="15" thickBot="1" x14ac:dyDescent="0.35">
      <c r="A3" s="143" t="s">
        <v>63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5"/>
    </row>
    <row r="4" spans="1:32" ht="3.7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32" s="10" customFormat="1" ht="21" customHeight="1" x14ac:dyDescent="0.3">
      <c r="A5" s="148" t="s">
        <v>0</v>
      </c>
      <c r="B5" s="150" t="s">
        <v>22</v>
      </c>
      <c r="C5" s="146"/>
      <c r="D5" s="146"/>
      <c r="E5" s="146"/>
      <c r="F5" s="146"/>
      <c r="G5" s="146"/>
      <c r="H5" s="146"/>
      <c r="I5" s="146"/>
      <c r="J5" s="147"/>
      <c r="K5" s="146" t="s">
        <v>1</v>
      </c>
      <c r="L5" s="146"/>
      <c r="M5" s="146"/>
      <c r="N5" s="146"/>
      <c r="O5" s="146"/>
      <c r="P5" s="146"/>
      <c r="Q5" s="146"/>
      <c r="R5" s="146"/>
      <c r="S5" s="147"/>
      <c r="T5" s="150" t="s">
        <v>31</v>
      </c>
      <c r="U5" s="146"/>
      <c r="V5" s="146"/>
      <c r="W5" s="146"/>
      <c r="X5" s="146"/>
      <c r="Y5" s="146"/>
      <c r="Z5" s="146"/>
      <c r="AA5" s="146"/>
      <c r="AB5" s="147"/>
    </row>
    <row r="6" spans="1:32" s="10" customFormat="1" ht="21" customHeight="1" thickBot="1" x14ac:dyDescent="0.35">
      <c r="A6" s="149"/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3" t="s">
        <v>24</v>
      </c>
      <c r="H6" s="13" t="s">
        <v>23</v>
      </c>
      <c r="I6" s="14" t="s">
        <v>7</v>
      </c>
      <c r="J6" s="15" t="s">
        <v>8</v>
      </c>
      <c r="K6" s="16" t="s">
        <v>2</v>
      </c>
      <c r="L6" s="12" t="s">
        <v>3</v>
      </c>
      <c r="M6" s="12" t="s">
        <v>4</v>
      </c>
      <c r="N6" s="12" t="s">
        <v>5</v>
      </c>
      <c r="O6" s="12" t="s">
        <v>6</v>
      </c>
      <c r="P6" s="13" t="s">
        <v>24</v>
      </c>
      <c r="Q6" s="13" t="s">
        <v>23</v>
      </c>
      <c r="R6" s="14" t="s">
        <v>7</v>
      </c>
      <c r="S6" s="15" t="s">
        <v>8</v>
      </c>
      <c r="T6" s="11" t="s">
        <v>2</v>
      </c>
      <c r="U6" s="12" t="s">
        <v>3</v>
      </c>
      <c r="V6" s="12" t="s">
        <v>4</v>
      </c>
      <c r="W6" s="12" t="s">
        <v>5</v>
      </c>
      <c r="X6" s="12" t="s">
        <v>6</v>
      </c>
      <c r="Y6" s="13" t="s">
        <v>24</v>
      </c>
      <c r="Z6" s="13" t="s">
        <v>23</v>
      </c>
      <c r="AA6" s="14" t="s">
        <v>7</v>
      </c>
      <c r="AB6" s="15" t="s">
        <v>8</v>
      </c>
    </row>
    <row r="7" spans="1:32" s="10" customFormat="1" ht="21" customHeight="1" x14ac:dyDescent="0.3">
      <c r="A7" s="17" t="s">
        <v>62</v>
      </c>
      <c r="B7" s="22">
        <v>9.9</v>
      </c>
      <c r="C7" s="23">
        <v>9.9</v>
      </c>
      <c r="D7" s="23">
        <v>9.6</v>
      </c>
      <c r="E7" s="23">
        <v>9.9</v>
      </c>
      <c r="F7" s="23">
        <v>9.8000000000000007</v>
      </c>
      <c r="G7" s="18">
        <f>MAX(B7:F7)</f>
        <v>9.9</v>
      </c>
      <c r="H7" s="18">
        <f>MIN(B7:F7)</f>
        <v>9.6</v>
      </c>
      <c r="I7" s="19"/>
      <c r="J7" s="20">
        <f t="shared" ref="J7:J16" si="0">(SUM(B7:F7)-SUM(G7:I7))</f>
        <v>29.599999999999994</v>
      </c>
      <c r="K7" s="22">
        <v>10</v>
      </c>
      <c r="L7" s="23">
        <v>10</v>
      </c>
      <c r="M7" s="23">
        <v>9.6999999999999993</v>
      </c>
      <c r="N7" s="23">
        <v>9.9</v>
      </c>
      <c r="O7" s="23">
        <v>10</v>
      </c>
      <c r="P7" s="18">
        <f>MAX(K7:O7)</f>
        <v>10</v>
      </c>
      <c r="Q7" s="18">
        <f>MIN(K7:O7)</f>
        <v>9.6999999999999993</v>
      </c>
      <c r="R7" s="19"/>
      <c r="S7" s="20">
        <f t="shared" ref="S7:S16" si="1">(SUM(K7:O7)-SUM(P7:R7))</f>
        <v>29.900000000000002</v>
      </c>
      <c r="T7" s="22">
        <v>10</v>
      </c>
      <c r="U7" s="23">
        <v>9.9</v>
      </c>
      <c r="V7" s="23">
        <v>9.8000000000000007</v>
      </c>
      <c r="W7" s="23">
        <v>10</v>
      </c>
      <c r="X7" s="23">
        <v>9.8000000000000007</v>
      </c>
      <c r="Y7" s="18">
        <f>MAX(T7:X7)</f>
        <v>10</v>
      </c>
      <c r="Z7" s="18">
        <f>MIN(T7:X7)</f>
        <v>9.8000000000000007</v>
      </c>
      <c r="AA7" s="19"/>
      <c r="AB7" s="20">
        <f t="shared" ref="AB7:AB16" si="2">(SUM(T7:X7)-SUM(Y7:AA7))</f>
        <v>29.7</v>
      </c>
    </row>
    <row r="8" spans="1:32" s="10" customFormat="1" ht="21" customHeight="1" x14ac:dyDescent="0.3">
      <c r="A8" s="21" t="s">
        <v>33</v>
      </c>
      <c r="B8" s="22">
        <v>9.6</v>
      </c>
      <c r="C8" s="23">
        <v>9.8000000000000007</v>
      </c>
      <c r="D8" s="23">
        <v>9.5</v>
      </c>
      <c r="E8" s="23">
        <v>10</v>
      </c>
      <c r="F8" s="23">
        <v>9.8000000000000007</v>
      </c>
      <c r="G8" s="24">
        <f t="shared" ref="G8:G16" si="3">MAX(B8:F8)</f>
        <v>10</v>
      </c>
      <c r="H8" s="24">
        <f t="shared" ref="H8:H16" si="4">MIN(B8:F8)</f>
        <v>9.5</v>
      </c>
      <c r="I8" s="25"/>
      <c r="J8" s="26">
        <f t="shared" si="0"/>
        <v>29.200000000000003</v>
      </c>
      <c r="K8" s="22">
        <v>9.8000000000000007</v>
      </c>
      <c r="L8" s="23">
        <v>10</v>
      </c>
      <c r="M8" s="23">
        <v>9.6</v>
      </c>
      <c r="N8" s="23">
        <v>10</v>
      </c>
      <c r="O8" s="23">
        <v>10</v>
      </c>
      <c r="P8" s="24">
        <f t="shared" ref="P8:P16" si="5">MAX(K8:O8)</f>
        <v>10</v>
      </c>
      <c r="Q8" s="24">
        <f t="shared" ref="Q8:Q16" si="6">MIN(K8:O8)</f>
        <v>9.6</v>
      </c>
      <c r="R8" s="25"/>
      <c r="S8" s="26">
        <f t="shared" si="1"/>
        <v>29.799999999999997</v>
      </c>
      <c r="T8" s="22">
        <v>9.6999999999999993</v>
      </c>
      <c r="U8" s="23">
        <v>9.9</v>
      </c>
      <c r="V8" s="23">
        <v>9.6999999999999993</v>
      </c>
      <c r="W8" s="23">
        <v>10</v>
      </c>
      <c r="X8" s="23">
        <v>9.8000000000000007</v>
      </c>
      <c r="Y8" s="24">
        <f t="shared" ref="Y8:Y16" si="7">MAX(T8:X8)</f>
        <v>10</v>
      </c>
      <c r="Z8" s="24">
        <f t="shared" ref="Z8:Z16" si="8">MIN(T8:X8)</f>
        <v>9.6999999999999993</v>
      </c>
      <c r="AA8" s="25"/>
      <c r="AB8" s="26">
        <f t="shared" si="2"/>
        <v>29.399999999999995</v>
      </c>
    </row>
    <row r="9" spans="1:32" s="10" customFormat="1" ht="21" customHeight="1" x14ac:dyDescent="0.3">
      <c r="A9" s="21" t="s">
        <v>47</v>
      </c>
      <c r="B9" s="22">
        <v>9.6999999999999993</v>
      </c>
      <c r="C9" s="23">
        <v>9.9</v>
      </c>
      <c r="D9" s="23">
        <v>9.9</v>
      </c>
      <c r="E9" s="23">
        <v>10</v>
      </c>
      <c r="F9" s="23">
        <v>10</v>
      </c>
      <c r="G9" s="24">
        <f t="shared" si="3"/>
        <v>10</v>
      </c>
      <c r="H9" s="24">
        <f t="shared" si="4"/>
        <v>9.6999999999999993</v>
      </c>
      <c r="I9" s="25"/>
      <c r="J9" s="26">
        <f t="shared" si="0"/>
        <v>29.8</v>
      </c>
      <c r="K9" s="22">
        <v>9.8000000000000007</v>
      </c>
      <c r="L9" s="23">
        <v>9.9</v>
      </c>
      <c r="M9" s="23">
        <v>9.6999999999999993</v>
      </c>
      <c r="N9" s="23">
        <v>10</v>
      </c>
      <c r="O9" s="23">
        <v>9.9</v>
      </c>
      <c r="P9" s="24">
        <f t="shared" si="5"/>
        <v>10</v>
      </c>
      <c r="Q9" s="24">
        <f t="shared" si="6"/>
        <v>9.6999999999999993</v>
      </c>
      <c r="R9" s="25"/>
      <c r="S9" s="26">
        <f t="shared" si="1"/>
        <v>29.600000000000005</v>
      </c>
      <c r="T9" s="22">
        <v>9.6999999999999993</v>
      </c>
      <c r="U9" s="23">
        <v>9.9</v>
      </c>
      <c r="V9" s="23">
        <v>9.8000000000000007</v>
      </c>
      <c r="W9" s="23">
        <v>9.8000000000000007</v>
      </c>
      <c r="X9" s="23">
        <v>9.9</v>
      </c>
      <c r="Y9" s="24">
        <f t="shared" si="7"/>
        <v>9.9</v>
      </c>
      <c r="Z9" s="24">
        <f t="shared" si="8"/>
        <v>9.6999999999999993</v>
      </c>
      <c r="AA9" s="25"/>
      <c r="AB9" s="26">
        <f t="shared" si="2"/>
        <v>29.5</v>
      </c>
    </row>
    <row r="10" spans="1:32" s="10" customFormat="1" ht="21" customHeight="1" x14ac:dyDescent="0.3">
      <c r="A10" s="21" t="s">
        <v>28</v>
      </c>
      <c r="B10" s="22">
        <v>9.6999999999999993</v>
      </c>
      <c r="C10" s="23">
        <v>10</v>
      </c>
      <c r="D10" s="23">
        <v>9.5</v>
      </c>
      <c r="E10" s="23">
        <v>10</v>
      </c>
      <c r="F10" s="23">
        <v>10</v>
      </c>
      <c r="G10" s="24">
        <f t="shared" si="3"/>
        <v>10</v>
      </c>
      <c r="H10" s="24">
        <f t="shared" si="4"/>
        <v>9.5</v>
      </c>
      <c r="I10" s="25"/>
      <c r="J10" s="26">
        <f t="shared" si="0"/>
        <v>29.700000000000003</v>
      </c>
      <c r="K10" s="22">
        <v>9.6999999999999993</v>
      </c>
      <c r="L10" s="23">
        <v>9.8000000000000007</v>
      </c>
      <c r="M10" s="23">
        <v>9.6</v>
      </c>
      <c r="N10" s="23">
        <v>10</v>
      </c>
      <c r="O10" s="23">
        <v>9.8000000000000007</v>
      </c>
      <c r="P10" s="24">
        <f t="shared" si="5"/>
        <v>10</v>
      </c>
      <c r="Q10" s="24">
        <f t="shared" si="6"/>
        <v>9.6</v>
      </c>
      <c r="R10" s="25"/>
      <c r="S10" s="26">
        <f t="shared" si="1"/>
        <v>29.300000000000004</v>
      </c>
      <c r="T10" s="22">
        <v>9.6999999999999993</v>
      </c>
      <c r="U10" s="23">
        <v>10</v>
      </c>
      <c r="V10" s="23">
        <v>9.6999999999999993</v>
      </c>
      <c r="W10" s="23">
        <v>9.9</v>
      </c>
      <c r="X10" s="23">
        <v>10</v>
      </c>
      <c r="Y10" s="24">
        <f t="shared" si="7"/>
        <v>10</v>
      </c>
      <c r="Z10" s="24">
        <f t="shared" si="8"/>
        <v>9.6999999999999993</v>
      </c>
      <c r="AA10" s="25"/>
      <c r="AB10" s="26">
        <f t="shared" si="2"/>
        <v>29.599999999999998</v>
      </c>
    </row>
    <row r="11" spans="1:32" s="10" customFormat="1" ht="21" customHeight="1" x14ac:dyDescent="0.3">
      <c r="A11" s="21" t="s">
        <v>32</v>
      </c>
      <c r="B11" s="22">
        <v>9.6999999999999993</v>
      </c>
      <c r="C11" s="23">
        <v>10</v>
      </c>
      <c r="D11" s="23">
        <v>9.6999999999999993</v>
      </c>
      <c r="E11" s="23">
        <v>9.9</v>
      </c>
      <c r="F11" s="23">
        <v>9.6999999999999993</v>
      </c>
      <c r="G11" s="24">
        <f t="shared" si="3"/>
        <v>10</v>
      </c>
      <c r="H11" s="24">
        <f t="shared" si="4"/>
        <v>9.6999999999999993</v>
      </c>
      <c r="I11" s="25"/>
      <c r="J11" s="26">
        <f t="shared" si="0"/>
        <v>29.3</v>
      </c>
      <c r="K11" s="22">
        <v>9.6</v>
      </c>
      <c r="L11" s="23">
        <v>9.8000000000000007</v>
      </c>
      <c r="M11" s="23">
        <v>9.6999999999999993</v>
      </c>
      <c r="N11" s="23">
        <v>9.9</v>
      </c>
      <c r="O11" s="23">
        <v>9.6999999999999993</v>
      </c>
      <c r="P11" s="24">
        <f t="shared" si="5"/>
        <v>9.9</v>
      </c>
      <c r="Q11" s="24">
        <f t="shared" si="6"/>
        <v>9.6</v>
      </c>
      <c r="R11" s="25"/>
      <c r="S11" s="26">
        <f t="shared" si="1"/>
        <v>29.200000000000003</v>
      </c>
      <c r="T11" s="22">
        <v>9.6999999999999993</v>
      </c>
      <c r="U11" s="23">
        <v>10</v>
      </c>
      <c r="V11" s="23">
        <v>9.8000000000000007</v>
      </c>
      <c r="W11" s="23">
        <v>10</v>
      </c>
      <c r="X11" s="23">
        <v>9.9</v>
      </c>
      <c r="Y11" s="24">
        <f t="shared" si="7"/>
        <v>10</v>
      </c>
      <c r="Z11" s="24">
        <f t="shared" si="8"/>
        <v>9.6999999999999993</v>
      </c>
      <c r="AA11" s="25"/>
      <c r="AB11" s="26">
        <f t="shared" si="2"/>
        <v>29.7</v>
      </c>
    </row>
    <row r="12" spans="1:32" s="10" customFormat="1" ht="21" customHeight="1" x14ac:dyDescent="0.3">
      <c r="A12" s="21" t="s">
        <v>48</v>
      </c>
      <c r="B12" s="22">
        <v>9.6999999999999993</v>
      </c>
      <c r="C12" s="23">
        <v>9.8000000000000007</v>
      </c>
      <c r="D12" s="23">
        <v>9.6</v>
      </c>
      <c r="E12" s="23">
        <v>9.8000000000000007</v>
      </c>
      <c r="F12" s="23">
        <v>9.6999999999999993</v>
      </c>
      <c r="G12" s="24">
        <f t="shared" si="3"/>
        <v>9.8000000000000007</v>
      </c>
      <c r="H12" s="24">
        <f t="shared" si="4"/>
        <v>9.6</v>
      </c>
      <c r="I12" s="25"/>
      <c r="J12" s="26">
        <f t="shared" si="0"/>
        <v>29.20000000000001</v>
      </c>
      <c r="K12" s="22">
        <v>9.8000000000000007</v>
      </c>
      <c r="L12" s="23">
        <v>10</v>
      </c>
      <c r="M12" s="23">
        <v>9.6999999999999993</v>
      </c>
      <c r="N12" s="23">
        <v>10</v>
      </c>
      <c r="O12" s="23">
        <v>10</v>
      </c>
      <c r="P12" s="24">
        <f t="shared" si="5"/>
        <v>10</v>
      </c>
      <c r="Q12" s="24">
        <f t="shared" si="6"/>
        <v>9.6999999999999993</v>
      </c>
      <c r="R12" s="25"/>
      <c r="S12" s="26">
        <f t="shared" si="1"/>
        <v>29.8</v>
      </c>
      <c r="T12" s="22">
        <v>9.6999999999999993</v>
      </c>
      <c r="U12" s="23">
        <v>9.9</v>
      </c>
      <c r="V12" s="23">
        <v>9.6999999999999993</v>
      </c>
      <c r="W12" s="23">
        <v>9.9</v>
      </c>
      <c r="X12" s="23">
        <v>9.6999999999999993</v>
      </c>
      <c r="Y12" s="24">
        <f t="shared" si="7"/>
        <v>9.9</v>
      </c>
      <c r="Z12" s="24">
        <f t="shared" si="8"/>
        <v>9.6999999999999993</v>
      </c>
      <c r="AA12" s="25"/>
      <c r="AB12" s="26">
        <f t="shared" si="2"/>
        <v>29.300000000000004</v>
      </c>
    </row>
    <row r="13" spans="1:32" s="10" customFormat="1" ht="21" customHeight="1" x14ac:dyDescent="0.3">
      <c r="A13" s="27" t="s">
        <v>43</v>
      </c>
      <c r="B13" s="213" t="s">
        <v>77</v>
      </c>
      <c r="C13" s="214"/>
      <c r="D13" s="214"/>
      <c r="E13" s="214"/>
      <c r="F13" s="214"/>
      <c r="G13" s="214"/>
      <c r="H13" s="214"/>
      <c r="I13" s="214"/>
      <c r="J13" s="215"/>
      <c r="K13" s="213" t="s">
        <v>77</v>
      </c>
      <c r="L13" s="214"/>
      <c r="M13" s="214"/>
      <c r="N13" s="214"/>
      <c r="O13" s="214"/>
      <c r="P13" s="214"/>
      <c r="Q13" s="214"/>
      <c r="R13" s="214"/>
      <c r="S13" s="215"/>
      <c r="T13" s="213" t="s">
        <v>77</v>
      </c>
      <c r="U13" s="214"/>
      <c r="V13" s="214"/>
      <c r="W13" s="214"/>
      <c r="X13" s="214"/>
      <c r="Y13" s="214"/>
      <c r="Z13" s="214"/>
      <c r="AA13" s="214"/>
      <c r="AB13" s="215"/>
    </row>
    <row r="14" spans="1:32" s="10" customFormat="1" ht="21" customHeight="1" x14ac:dyDescent="0.3">
      <c r="A14" s="21" t="s">
        <v>46</v>
      </c>
      <c r="B14" s="22">
        <v>9.6</v>
      </c>
      <c r="C14" s="23">
        <v>10</v>
      </c>
      <c r="D14" s="23">
        <v>9.5</v>
      </c>
      <c r="E14" s="23">
        <v>9.9</v>
      </c>
      <c r="F14" s="23">
        <v>9.8000000000000007</v>
      </c>
      <c r="G14" s="24">
        <f t="shared" si="3"/>
        <v>10</v>
      </c>
      <c r="H14" s="24">
        <f t="shared" si="4"/>
        <v>9.5</v>
      </c>
      <c r="I14" s="25"/>
      <c r="J14" s="26">
        <f t="shared" si="0"/>
        <v>29.299999999999997</v>
      </c>
      <c r="K14" s="22">
        <v>9.6999999999999993</v>
      </c>
      <c r="L14" s="23">
        <v>9.9</v>
      </c>
      <c r="M14" s="23">
        <v>9.6</v>
      </c>
      <c r="N14" s="23">
        <v>9.8000000000000007</v>
      </c>
      <c r="O14" s="23">
        <v>9.9</v>
      </c>
      <c r="P14" s="24">
        <f t="shared" si="5"/>
        <v>9.9</v>
      </c>
      <c r="Q14" s="24">
        <f t="shared" si="6"/>
        <v>9.6</v>
      </c>
      <c r="R14" s="25"/>
      <c r="S14" s="26">
        <f t="shared" si="1"/>
        <v>29.4</v>
      </c>
      <c r="T14" s="22">
        <v>9.6999999999999993</v>
      </c>
      <c r="U14" s="23">
        <v>10</v>
      </c>
      <c r="V14" s="23">
        <v>9.6</v>
      </c>
      <c r="W14" s="23">
        <v>9.6999999999999993</v>
      </c>
      <c r="X14" s="23">
        <v>9.8000000000000007</v>
      </c>
      <c r="Y14" s="24">
        <f t="shared" si="7"/>
        <v>10</v>
      </c>
      <c r="Z14" s="24">
        <f t="shared" si="8"/>
        <v>9.6</v>
      </c>
      <c r="AA14" s="25"/>
      <c r="AB14" s="26">
        <f t="shared" si="2"/>
        <v>29.199999999999996</v>
      </c>
    </row>
    <row r="15" spans="1:32" s="10" customFormat="1" ht="21" customHeight="1" x14ac:dyDescent="0.3">
      <c r="A15" s="21" t="s">
        <v>42</v>
      </c>
      <c r="B15" s="22">
        <v>9.8000000000000007</v>
      </c>
      <c r="C15" s="23">
        <v>9.9</v>
      </c>
      <c r="D15" s="23">
        <v>9.6999999999999993</v>
      </c>
      <c r="E15" s="23">
        <v>9.9</v>
      </c>
      <c r="F15" s="23">
        <v>10</v>
      </c>
      <c r="G15" s="24">
        <f t="shared" si="3"/>
        <v>10</v>
      </c>
      <c r="H15" s="24">
        <f t="shared" si="4"/>
        <v>9.6999999999999993</v>
      </c>
      <c r="I15" s="25"/>
      <c r="J15" s="26">
        <f t="shared" si="0"/>
        <v>29.600000000000005</v>
      </c>
      <c r="K15" s="22">
        <v>9.9</v>
      </c>
      <c r="L15" s="23">
        <v>10</v>
      </c>
      <c r="M15" s="23">
        <v>10</v>
      </c>
      <c r="N15" s="23">
        <v>9.9</v>
      </c>
      <c r="O15" s="23">
        <v>10</v>
      </c>
      <c r="P15" s="24">
        <f t="shared" si="5"/>
        <v>10</v>
      </c>
      <c r="Q15" s="24">
        <f t="shared" si="6"/>
        <v>9.9</v>
      </c>
      <c r="R15" s="25"/>
      <c r="S15" s="26">
        <f t="shared" si="1"/>
        <v>29.9</v>
      </c>
      <c r="T15" s="22">
        <v>9.6999999999999993</v>
      </c>
      <c r="U15" s="23">
        <v>9.9</v>
      </c>
      <c r="V15" s="23">
        <v>9.6999999999999993</v>
      </c>
      <c r="W15" s="23">
        <v>9.9</v>
      </c>
      <c r="X15" s="23">
        <v>9.9</v>
      </c>
      <c r="Y15" s="24">
        <f t="shared" si="7"/>
        <v>9.9</v>
      </c>
      <c r="Z15" s="24">
        <f t="shared" si="8"/>
        <v>9.6999999999999993</v>
      </c>
      <c r="AA15" s="25"/>
      <c r="AB15" s="26">
        <f t="shared" si="2"/>
        <v>29.5</v>
      </c>
    </row>
    <row r="16" spans="1:32" s="10" customFormat="1" ht="21" customHeight="1" thickBot="1" x14ac:dyDescent="0.35">
      <c r="A16" s="40" t="s">
        <v>45</v>
      </c>
      <c r="B16" s="41">
        <v>9.9</v>
      </c>
      <c r="C16" s="42">
        <v>10</v>
      </c>
      <c r="D16" s="42">
        <v>9.6999999999999993</v>
      </c>
      <c r="E16" s="42">
        <v>10</v>
      </c>
      <c r="F16" s="42">
        <v>10</v>
      </c>
      <c r="G16" s="43">
        <f t="shared" si="3"/>
        <v>10</v>
      </c>
      <c r="H16" s="43">
        <f t="shared" si="4"/>
        <v>9.6999999999999993</v>
      </c>
      <c r="I16" s="44"/>
      <c r="J16" s="45">
        <f t="shared" si="0"/>
        <v>29.899999999999995</v>
      </c>
      <c r="K16" s="41">
        <v>9.9</v>
      </c>
      <c r="L16" s="42">
        <v>10</v>
      </c>
      <c r="M16" s="42">
        <v>9.8000000000000007</v>
      </c>
      <c r="N16" s="42">
        <v>10</v>
      </c>
      <c r="O16" s="42">
        <v>9.9</v>
      </c>
      <c r="P16" s="43">
        <f t="shared" si="5"/>
        <v>10</v>
      </c>
      <c r="Q16" s="43">
        <f t="shared" si="6"/>
        <v>9.8000000000000007</v>
      </c>
      <c r="R16" s="44"/>
      <c r="S16" s="45">
        <f t="shared" si="1"/>
        <v>29.8</v>
      </c>
      <c r="T16" s="41">
        <v>10</v>
      </c>
      <c r="U16" s="42">
        <v>10</v>
      </c>
      <c r="V16" s="42">
        <v>9.8000000000000007</v>
      </c>
      <c r="W16" s="42">
        <v>10</v>
      </c>
      <c r="X16" s="42">
        <v>10</v>
      </c>
      <c r="Y16" s="43">
        <f t="shared" si="7"/>
        <v>10</v>
      </c>
      <c r="Z16" s="43">
        <f t="shared" si="8"/>
        <v>9.8000000000000007</v>
      </c>
      <c r="AA16" s="44"/>
      <c r="AB16" s="45">
        <f t="shared" si="2"/>
        <v>29.999999999999996</v>
      </c>
    </row>
    <row r="17" spans="1:28" s="10" customFormat="1" ht="4.2" customHeight="1" thickBot="1" x14ac:dyDescent="0.35">
      <c r="A17" s="28"/>
      <c r="B17" s="29"/>
      <c r="C17" s="29"/>
      <c r="D17" s="29"/>
      <c r="E17" s="29"/>
      <c r="F17" s="29"/>
      <c r="G17" s="29"/>
      <c r="H17" s="29"/>
      <c r="I17" s="30"/>
      <c r="J17" s="31"/>
      <c r="K17" s="29"/>
      <c r="L17" s="29"/>
      <c r="M17" s="29"/>
      <c r="N17" s="29"/>
      <c r="O17" s="29"/>
      <c r="P17" s="29"/>
      <c r="Q17" s="29"/>
      <c r="R17" s="32"/>
      <c r="S17" s="31"/>
      <c r="T17" s="29"/>
      <c r="U17" s="29"/>
      <c r="V17" s="29"/>
      <c r="W17" s="29"/>
      <c r="X17" s="29"/>
      <c r="Y17" s="29"/>
      <c r="Z17" s="29"/>
      <c r="AA17" s="32"/>
      <c r="AB17" s="31"/>
    </row>
    <row r="18" spans="1:28" s="10" customFormat="1" ht="21" customHeight="1" x14ac:dyDescent="0.3">
      <c r="A18" s="148" t="s">
        <v>0</v>
      </c>
      <c r="B18" s="151" t="s">
        <v>21</v>
      </c>
      <c r="C18" s="152"/>
      <c r="D18" s="152"/>
      <c r="E18" s="152"/>
      <c r="F18" s="152"/>
      <c r="G18" s="152"/>
      <c r="H18" s="152"/>
      <c r="I18" s="152"/>
      <c r="J18" s="153"/>
      <c r="K18" s="146" t="s">
        <v>9</v>
      </c>
      <c r="L18" s="146"/>
      <c r="M18" s="146"/>
      <c r="N18" s="146"/>
      <c r="O18" s="146"/>
      <c r="P18" s="146"/>
      <c r="Q18" s="146"/>
      <c r="R18" s="146"/>
      <c r="S18" s="147"/>
      <c r="T18" s="146" t="s">
        <v>25</v>
      </c>
      <c r="U18" s="146"/>
      <c r="V18" s="146"/>
      <c r="W18" s="146"/>
      <c r="X18" s="146"/>
      <c r="Y18" s="146"/>
      <c r="Z18" s="146"/>
      <c r="AA18" s="146"/>
      <c r="AB18" s="147"/>
    </row>
    <row r="19" spans="1:28" s="10" customFormat="1" ht="21" customHeight="1" thickBot="1" x14ac:dyDescent="0.35">
      <c r="A19" s="149"/>
      <c r="B19" s="11" t="s">
        <v>2</v>
      </c>
      <c r="C19" s="12" t="s">
        <v>3</v>
      </c>
      <c r="D19" s="12" t="s">
        <v>4</v>
      </c>
      <c r="E19" s="12" t="s">
        <v>5</v>
      </c>
      <c r="F19" s="12" t="s">
        <v>6</v>
      </c>
      <c r="G19" s="13" t="s">
        <v>24</v>
      </c>
      <c r="H19" s="13" t="s">
        <v>23</v>
      </c>
      <c r="I19" s="14" t="s">
        <v>7</v>
      </c>
      <c r="J19" s="15" t="s">
        <v>8</v>
      </c>
      <c r="K19" s="12" t="s">
        <v>2</v>
      </c>
      <c r="L19" s="12" t="s">
        <v>3</v>
      </c>
      <c r="M19" s="12" t="s">
        <v>4</v>
      </c>
      <c r="N19" s="12" t="s">
        <v>5</v>
      </c>
      <c r="O19" s="12" t="s">
        <v>6</v>
      </c>
      <c r="P19" s="13" t="s">
        <v>24</v>
      </c>
      <c r="Q19" s="13" t="s">
        <v>23</v>
      </c>
      <c r="R19" s="14" t="s">
        <v>7</v>
      </c>
      <c r="S19" s="15" t="s">
        <v>8</v>
      </c>
      <c r="T19" s="12" t="s">
        <v>2</v>
      </c>
      <c r="U19" s="12" t="s">
        <v>3</v>
      </c>
      <c r="V19" s="12" t="s">
        <v>4</v>
      </c>
      <c r="W19" s="12" t="s">
        <v>5</v>
      </c>
      <c r="X19" s="12" t="s">
        <v>6</v>
      </c>
      <c r="Y19" s="13" t="s">
        <v>24</v>
      </c>
      <c r="Z19" s="13" t="s">
        <v>23</v>
      </c>
      <c r="AA19" s="14" t="s">
        <v>7</v>
      </c>
      <c r="AB19" s="15" t="s">
        <v>8</v>
      </c>
    </row>
    <row r="20" spans="1:28" s="10" customFormat="1" ht="21" customHeight="1" x14ac:dyDescent="0.3">
      <c r="A20" s="17" t="s">
        <v>62</v>
      </c>
      <c r="B20" s="22">
        <v>10</v>
      </c>
      <c r="C20" s="23">
        <v>10</v>
      </c>
      <c r="D20" s="23">
        <v>9.8000000000000007</v>
      </c>
      <c r="E20" s="23">
        <v>10</v>
      </c>
      <c r="F20" s="23">
        <v>10</v>
      </c>
      <c r="G20" s="18">
        <f>MAX(B20:F20)</f>
        <v>10</v>
      </c>
      <c r="H20" s="18">
        <f>MIN(B20:F20)</f>
        <v>9.8000000000000007</v>
      </c>
      <c r="I20" s="19"/>
      <c r="J20" s="20">
        <f>(SUM(B20:F20)-SUM(G20:I20))</f>
        <v>29.999999999999996</v>
      </c>
      <c r="K20" s="22">
        <v>9.9</v>
      </c>
      <c r="L20" s="23">
        <v>10</v>
      </c>
      <c r="M20" s="23">
        <v>9.8000000000000007</v>
      </c>
      <c r="N20" s="23">
        <v>9.9</v>
      </c>
      <c r="O20" s="23">
        <v>9.8000000000000007</v>
      </c>
      <c r="P20" s="18">
        <f>MAX(K20:O20)</f>
        <v>10</v>
      </c>
      <c r="Q20" s="18">
        <f>MIN(K20:O20)</f>
        <v>9.8000000000000007</v>
      </c>
      <c r="R20" s="19"/>
      <c r="S20" s="20">
        <f>(SUM(K20:O20)-SUM(P20:R20))</f>
        <v>29.600000000000005</v>
      </c>
      <c r="T20" s="22">
        <v>10</v>
      </c>
      <c r="U20" s="23">
        <v>10</v>
      </c>
      <c r="V20" s="23">
        <v>9.9</v>
      </c>
      <c r="W20" s="23">
        <v>10</v>
      </c>
      <c r="X20" s="23">
        <v>10</v>
      </c>
      <c r="Y20" s="18">
        <f>MAX(T20:X20)</f>
        <v>10</v>
      </c>
      <c r="Z20" s="18">
        <f>MIN(T20:X20)</f>
        <v>9.9</v>
      </c>
      <c r="AA20" s="19"/>
      <c r="AB20" s="20">
        <f t="shared" ref="AB20:AB29" si="9">(SUM(T20:X20)-SUM(Y20:AA20))</f>
        <v>30</v>
      </c>
    </row>
    <row r="21" spans="1:28" s="10" customFormat="1" ht="21" customHeight="1" x14ac:dyDescent="0.3">
      <c r="A21" s="21" t="s">
        <v>33</v>
      </c>
      <c r="B21" s="22">
        <v>10</v>
      </c>
      <c r="C21" s="23">
        <v>10</v>
      </c>
      <c r="D21" s="23">
        <v>9.6999999999999993</v>
      </c>
      <c r="E21" s="23">
        <v>10</v>
      </c>
      <c r="F21" s="23">
        <v>10</v>
      </c>
      <c r="G21" s="24">
        <f t="shared" ref="G21:G29" si="10">MAX(B21:F21)</f>
        <v>10</v>
      </c>
      <c r="H21" s="24">
        <f t="shared" ref="H21:H29" si="11">MIN(B21:F21)</f>
        <v>9.6999999999999993</v>
      </c>
      <c r="I21" s="25"/>
      <c r="J21" s="26">
        <f t="shared" ref="J21:J29" si="12">(SUM(B21:F21)-SUM(G21:I21))</f>
        <v>30.000000000000004</v>
      </c>
      <c r="K21" s="22">
        <v>9.6999999999999993</v>
      </c>
      <c r="L21" s="23">
        <v>9.9</v>
      </c>
      <c r="M21" s="23">
        <v>9.6</v>
      </c>
      <c r="N21" s="23">
        <v>10</v>
      </c>
      <c r="O21" s="23">
        <v>9.8000000000000007</v>
      </c>
      <c r="P21" s="24">
        <f t="shared" ref="P21:P29" si="13">MAX(K21:O21)</f>
        <v>10</v>
      </c>
      <c r="Q21" s="24">
        <f t="shared" ref="Q21:Q29" si="14">MIN(K21:O21)</f>
        <v>9.6</v>
      </c>
      <c r="R21" s="25"/>
      <c r="S21" s="26">
        <f t="shared" ref="S21:S29" si="15">(SUM(K21:O21)-SUM(P21:R21))</f>
        <v>29.4</v>
      </c>
      <c r="T21" s="22">
        <v>9.9</v>
      </c>
      <c r="U21" s="23">
        <v>10</v>
      </c>
      <c r="V21" s="23">
        <v>9.6999999999999993</v>
      </c>
      <c r="W21" s="23">
        <v>10</v>
      </c>
      <c r="X21" s="23">
        <v>10</v>
      </c>
      <c r="Y21" s="24">
        <f t="shared" ref="Y21:Y29" si="16">MAX(T21:X21)</f>
        <v>10</v>
      </c>
      <c r="Z21" s="24">
        <f t="shared" ref="Z21:Z29" si="17">MIN(T21:X21)</f>
        <v>9.6999999999999993</v>
      </c>
      <c r="AA21" s="25"/>
      <c r="AB21" s="26">
        <f t="shared" si="9"/>
        <v>29.899999999999995</v>
      </c>
    </row>
    <row r="22" spans="1:28" s="10" customFormat="1" ht="21" customHeight="1" x14ac:dyDescent="0.3">
      <c r="A22" s="21" t="s">
        <v>47</v>
      </c>
      <c r="B22" s="22">
        <v>9.9</v>
      </c>
      <c r="C22" s="23">
        <v>9.9</v>
      </c>
      <c r="D22" s="23">
        <v>10</v>
      </c>
      <c r="E22" s="23">
        <v>10</v>
      </c>
      <c r="F22" s="23">
        <v>10</v>
      </c>
      <c r="G22" s="24">
        <f t="shared" si="10"/>
        <v>10</v>
      </c>
      <c r="H22" s="24">
        <f t="shared" si="11"/>
        <v>9.9</v>
      </c>
      <c r="I22" s="25"/>
      <c r="J22" s="26">
        <f t="shared" si="12"/>
        <v>29.9</v>
      </c>
      <c r="K22" s="22">
        <v>10</v>
      </c>
      <c r="L22" s="23">
        <v>10</v>
      </c>
      <c r="M22" s="23">
        <v>10</v>
      </c>
      <c r="N22" s="23">
        <v>10</v>
      </c>
      <c r="O22" s="23">
        <v>10</v>
      </c>
      <c r="P22" s="24">
        <f t="shared" si="13"/>
        <v>10</v>
      </c>
      <c r="Q22" s="24">
        <f t="shared" si="14"/>
        <v>10</v>
      </c>
      <c r="R22" s="25"/>
      <c r="S22" s="26">
        <f t="shared" si="15"/>
        <v>30</v>
      </c>
      <c r="T22" s="22">
        <v>9.9</v>
      </c>
      <c r="U22" s="23">
        <v>10</v>
      </c>
      <c r="V22" s="23">
        <v>10</v>
      </c>
      <c r="W22" s="23">
        <v>10</v>
      </c>
      <c r="X22" s="23">
        <v>9.8000000000000007</v>
      </c>
      <c r="Y22" s="24">
        <f t="shared" si="16"/>
        <v>10</v>
      </c>
      <c r="Z22" s="24">
        <f t="shared" si="17"/>
        <v>9.8000000000000007</v>
      </c>
      <c r="AA22" s="25"/>
      <c r="AB22" s="26">
        <f t="shared" si="9"/>
        <v>29.900000000000002</v>
      </c>
    </row>
    <row r="23" spans="1:28" s="10" customFormat="1" ht="21" customHeight="1" x14ac:dyDescent="0.3">
      <c r="A23" s="21" t="s">
        <v>28</v>
      </c>
      <c r="B23" s="22">
        <v>9.9</v>
      </c>
      <c r="C23" s="23">
        <v>9.9</v>
      </c>
      <c r="D23" s="23">
        <v>9.8000000000000007</v>
      </c>
      <c r="E23" s="23">
        <v>10</v>
      </c>
      <c r="F23" s="23">
        <v>10</v>
      </c>
      <c r="G23" s="24">
        <f t="shared" si="10"/>
        <v>10</v>
      </c>
      <c r="H23" s="24">
        <f t="shared" si="11"/>
        <v>9.8000000000000007</v>
      </c>
      <c r="I23" s="25"/>
      <c r="J23" s="26">
        <f t="shared" si="12"/>
        <v>29.8</v>
      </c>
      <c r="K23" s="22">
        <v>9.8000000000000007</v>
      </c>
      <c r="L23" s="23">
        <v>10</v>
      </c>
      <c r="M23" s="23">
        <v>9.6</v>
      </c>
      <c r="N23" s="23">
        <v>10</v>
      </c>
      <c r="O23" s="23">
        <v>9.8000000000000007</v>
      </c>
      <c r="P23" s="24">
        <f t="shared" si="13"/>
        <v>10</v>
      </c>
      <c r="Q23" s="24">
        <f t="shared" si="14"/>
        <v>9.6</v>
      </c>
      <c r="R23" s="25"/>
      <c r="S23" s="26">
        <f t="shared" si="15"/>
        <v>29.6</v>
      </c>
      <c r="T23" s="22">
        <v>9.9</v>
      </c>
      <c r="U23" s="23">
        <v>10</v>
      </c>
      <c r="V23" s="23">
        <v>10</v>
      </c>
      <c r="W23" s="23">
        <v>10</v>
      </c>
      <c r="X23" s="23">
        <v>9.8000000000000007</v>
      </c>
      <c r="Y23" s="24">
        <f t="shared" si="16"/>
        <v>10</v>
      </c>
      <c r="Z23" s="24">
        <f t="shared" si="17"/>
        <v>9.8000000000000007</v>
      </c>
      <c r="AA23" s="25"/>
      <c r="AB23" s="26">
        <f t="shared" si="9"/>
        <v>29.900000000000002</v>
      </c>
    </row>
    <row r="24" spans="1:28" s="10" customFormat="1" ht="21" customHeight="1" x14ac:dyDescent="0.3">
      <c r="A24" s="21" t="s">
        <v>32</v>
      </c>
      <c r="B24" s="22">
        <v>9.9</v>
      </c>
      <c r="C24" s="23">
        <v>10</v>
      </c>
      <c r="D24" s="23">
        <v>10</v>
      </c>
      <c r="E24" s="23">
        <v>10</v>
      </c>
      <c r="F24" s="23">
        <v>10</v>
      </c>
      <c r="G24" s="24">
        <f t="shared" si="10"/>
        <v>10</v>
      </c>
      <c r="H24" s="24">
        <f t="shared" si="11"/>
        <v>9.9</v>
      </c>
      <c r="I24" s="25"/>
      <c r="J24" s="26">
        <f t="shared" si="12"/>
        <v>30</v>
      </c>
      <c r="K24" s="22">
        <v>9.6999999999999993</v>
      </c>
      <c r="L24" s="23">
        <v>10</v>
      </c>
      <c r="M24" s="23">
        <v>9.8000000000000007</v>
      </c>
      <c r="N24" s="23">
        <v>10</v>
      </c>
      <c r="O24" s="23">
        <v>9.6999999999999993</v>
      </c>
      <c r="P24" s="24">
        <f t="shared" si="13"/>
        <v>10</v>
      </c>
      <c r="Q24" s="24">
        <f t="shared" si="14"/>
        <v>9.6999999999999993</v>
      </c>
      <c r="R24" s="25"/>
      <c r="S24" s="26">
        <f t="shared" si="15"/>
        <v>29.500000000000004</v>
      </c>
      <c r="T24" s="22">
        <v>9.8000000000000007</v>
      </c>
      <c r="U24" s="23">
        <v>10</v>
      </c>
      <c r="V24" s="23">
        <v>9.9</v>
      </c>
      <c r="W24" s="23">
        <v>10</v>
      </c>
      <c r="X24" s="23">
        <v>9.8000000000000007</v>
      </c>
      <c r="Y24" s="24">
        <f t="shared" si="16"/>
        <v>10</v>
      </c>
      <c r="Z24" s="24">
        <f t="shared" si="17"/>
        <v>9.8000000000000007</v>
      </c>
      <c r="AA24" s="25"/>
      <c r="AB24" s="26">
        <f t="shared" si="9"/>
        <v>29.7</v>
      </c>
    </row>
    <row r="25" spans="1:28" s="10" customFormat="1" ht="21" customHeight="1" x14ac:dyDescent="0.3">
      <c r="A25" s="21" t="s">
        <v>48</v>
      </c>
      <c r="B25" s="22">
        <v>9.9</v>
      </c>
      <c r="C25" s="23">
        <v>9.8000000000000007</v>
      </c>
      <c r="D25" s="23">
        <v>10</v>
      </c>
      <c r="E25" s="23">
        <v>10</v>
      </c>
      <c r="F25" s="23">
        <v>9.9</v>
      </c>
      <c r="G25" s="24">
        <f t="shared" si="10"/>
        <v>10</v>
      </c>
      <c r="H25" s="24">
        <f t="shared" si="11"/>
        <v>9.8000000000000007</v>
      </c>
      <c r="I25" s="25"/>
      <c r="J25" s="26">
        <f t="shared" si="12"/>
        <v>29.8</v>
      </c>
      <c r="K25" s="22">
        <v>9.6999999999999993</v>
      </c>
      <c r="L25" s="23">
        <v>10</v>
      </c>
      <c r="M25" s="23">
        <v>9.6999999999999993</v>
      </c>
      <c r="N25" s="23">
        <v>9.9</v>
      </c>
      <c r="O25" s="23">
        <v>9.6999999999999993</v>
      </c>
      <c r="P25" s="24">
        <f t="shared" si="13"/>
        <v>10</v>
      </c>
      <c r="Q25" s="24">
        <f t="shared" si="14"/>
        <v>9.6999999999999993</v>
      </c>
      <c r="R25" s="25"/>
      <c r="S25" s="26">
        <f t="shared" si="15"/>
        <v>29.3</v>
      </c>
      <c r="T25" s="22">
        <v>10</v>
      </c>
      <c r="U25" s="23">
        <v>10</v>
      </c>
      <c r="V25" s="23">
        <v>10</v>
      </c>
      <c r="W25" s="23">
        <v>10</v>
      </c>
      <c r="X25" s="23">
        <v>9.8000000000000007</v>
      </c>
      <c r="Y25" s="24">
        <f t="shared" si="16"/>
        <v>10</v>
      </c>
      <c r="Z25" s="24">
        <f t="shared" si="17"/>
        <v>9.8000000000000007</v>
      </c>
      <c r="AA25" s="25"/>
      <c r="AB25" s="26">
        <f t="shared" si="9"/>
        <v>29.999999999999996</v>
      </c>
    </row>
    <row r="26" spans="1:28" s="10" customFormat="1" ht="21" customHeight="1" x14ac:dyDescent="0.3">
      <c r="A26" s="27" t="s">
        <v>43</v>
      </c>
      <c r="B26" s="213" t="s">
        <v>77</v>
      </c>
      <c r="C26" s="214"/>
      <c r="D26" s="214"/>
      <c r="E26" s="214"/>
      <c r="F26" s="214"/>
      <c r="G26" s="214"/>
      <c r="H26" s="214"/>
      <c r="I26" s="214"/>
      <c r="J26" s="215"/>
      <c r="K26" s="213" t="s">
        <v>77</v>
      </c>
      <c r="L26" s="214"/>
      <c r="M26" s="214"/>
      <c r="N26" s="214"/>
      <c r="O26" s="214"/>
      <c r="P26" s="214"/>
      <c r="Q26" s="214"/>
      <c r="R26" s="214"/>
      <c r="S26" s="215"/>
      <c r="T26" s="213" t="s">
        <v>77</v>
      </c>
      <c r="U26" s="214"/>
      <c r="V26" s="214"/>
      <c r="W26" s="214"/>
      <c r="X26" s="214"/>
      <c r="Y26" s="214"/>
      <c r="Z26" s="214"/>
      <c r="AA26" s="214"/>
      <c r="AB26" s="215"/>
    </row>
    <row r="27" spans="1:28" s="10" customFormat="1" ht="21" customHeight="1" x14ac:dyDescent="0.3">
      <c r="A27" s="21" t="s">
        <v>46</v>
      </c>
      <c r="B27" s="22">
        <v>9.8000000000000007</v>
      </c>
      <c r="C27" s="23">
        <v>9.9</v>
      </c>
      <c r="D27" s="23">
        <v>9.6999999999999993</v>
      </c>
      <c r="E27" s="23">
        <v>9.9</v>
      </c>
      <c r="F27" s="23">
        <v>10</v>
      </c>
      <c r="G27" s="24">
        <f t="shared" si="10"/>
        <v>10</v>
      </c>
      <c r="H27" s="24">
        <f t="shared" si="11"/>
        <v>9.6999999999999993</v>
      </c>
      <c r="I27" s="25"/>
      <c r="J27" s="26">
        <f t="shared" si="12"/>
        <v>29.600000000000005</v>
      </c>
      <c r="K27" s="22">
        <v>9.6999999999999993</v>
      </c>
      <c r="L27" s="23">
        <v>10</v>
      </c>
      <c r="M27" s="23">
        <v>9.6</v>
      </c>
      <c r="N27" s="23">
        <v>9.8000000000000007</v>
      </c>
      <c r="O27" s="23">
        <v>9.9</v>
      </c>
      <c r="P27" s="24">
        <f t="shared" si="13"/>
        <v>10</v>
      </c>
      <c r="Q27" s="24">
        <f t="shared" si="14"/>
        <v>9.6</v>
      </c>
      <c r="R27" s="25"/>
      <c r="S27" s="26">
        <f t="shared" si="15"/>
        <v>29.399999999999991</v>
      </c>
      <c r="T27" s="22">
        <v>9.6999999999999993</v>
      </c>
      <c r="U27" s="23">
        <v>10</v>
      </c>
      <c r="V27" s="23">
        <v>9.8000000000000007</v>
      </c>
      <c r="W27" s="23">
        <v>9.9</v>
      </c>
      <c r="X27" s="23">
        <v>10</v>
      </c>
      <c r="Y27" s="24">
        <f t="shared" si="16"/>
        <v>10</v>
      </c>
      <c r="Z27" s="24">
        <f t="shared" si="17"/>
        <v>9.6999999999999993</v>
      </c>
      <c r="AA27" s="25"/>
      <c r="AB27" s="26">
        <f t="shared" si="9"/>
        <v>29.7</v>
      </c>
    </row>
    <row r="28" spans="1:28" s="10" customFormat="1" ht="21" customHeight="1" x14ac:dyDescent="0.3">
      <c r="A28" s="21" t="s">
        <v>42</v>
      </c>
      <c r="B28" s="22">
        <v>9.9</v>
      </c>
      <c r="C28" s="23">
        <v>9.9</v>
      </c>
      <c r="D28" s="23">
        <v>9.8000000000000007</v>
      </c>
      <c r="E28" s="23">
        <v>10</v>
      </c>
      <c r="F28" s="23">
        <v>10</v>
      </c>
      <c r="G28" s="24">
        <f t="shared" si="10"/>
        <v>10</v>
      </c>
      <c r="H28" s="24">
        <f t="shared" si="11"/>
        <v>9.8000000000000007</v>
      </c>
      <c r="I28" s="25"/>
      <c r="J28" s="26">
        <f t="shared" si="12"/>
        <v>29.8</v>
      </c>
      <c r="K28" s="22">
        <v>9.6999999999999993</v>
      </c>
      <c r="L28" s="23">
        <v>10</v>
      </c>
      <c r="M28" s="23">
        <v>9.6</v>
      </c>
      <c r="N28" s="23">
        <v>10</v>
      </c>
      <c r="O28" s="23">
        <v>10</v>
      </c>
      <c r="P28" s="24">
        <f t="shared" si="13"/>
        <v>10</v>
      </c>
      <c r="Q28" s="24">
        <f t="shared" si="14"/>
        <v>9.6</v>
      </c>
      <c r="R28" s="25"/>
      <c r="S28" s="26">
        <f t="shared" si="15"/>
        <v>29.699999999999996</v>
      </c>
      <c r="T28" s="22">
        <v>9.6999999999999993</v>
      </c>
      <c r="U28" s="23">
        <v>10</v>
      </c>
      <c r="V28" s="23">
        <v>10</v>
      </c>
      <c r="W28" s="23">
        <v>9.9</v>
      </c>
      <c r="X28" s="23">
        <v>10</v>
      </c>
      <c r="Y28" s="24">
        <f t="shared" si="16"/>
        <v>10</v>
      </c>
      <c r="Z28" s="24">
        <f t="shared" si="17"/>
        <v>9.6999999999999993</v>
      </c>
      <c r="AA28" s="25"/>
      <c r="AB28" s="26">
        <f t="shared" si="9"/>
        <v>29.900000000000002</v>
      </c>
    </row>
    <row r="29" spans="1:28" s="10" customFormat="1" ht="21" customHeight="1" thickBot="1" x14ac:dyDescent="0.35">
      <c r="A29" s="40" t="s">
        <v>45</v>
      </c>
      <c r="B29" s="41">
        <v>10</v>
      </c>
      <c r="C29" s="42">
        <v>10</v>
      </c>
      <c r="D29" s="42">
        <v>9.9</v>
      </c>
      <c r="E29" s="42">
        <v>10</v>
      </c>
      <c r="F29" s="42">
        <v>10</v>
      </c>
      <c r="G29" s="43">
        <f t="shared" si="10"/>
        <v>10</v>
      </c>
      <c r="H29" s="43">
        <f t="shared" si="11"/>
        <v>9.9</v>
      </c>
      <c r="I29" s="44"/>
      <c r="J29" s="45">
        <f t="shared" si="12"/>
        <v>30</v>
      </c>
      <c r="K29" s="41">
        <v>9.9</v>
      </c>
      <c r="L29" s="42">
        <v>10</v>
      </c>
      <c r="M29" s="42">
        <v>9.6999999999999993</v>
      </c>
      <c r="N29" s="42">
        <v>10</v>
      </c>
      <c r="O29" s="42">
        <v>9.9</v>
      </c>
      <c r="P29" s="43">
        <f t="shared" si="13"/>
        <v>10</v>
      </c>
      <c r="Q29" s="43">
        <f t="shared" si="14"/>
        <v>9.6999999999999993</v>
      </c>
      <c r="R29" s="44"/>
      <c r="S29" s="45">
        <f t="shared" si="15"/>
        <v>29.799999999999994</v>
      </c>
      <c r="T29" s="41">
        <v>9.9</v>
      </c>
      <c r="U29" s="42">
        <v>10</v>
      </c>
      <c r="V29" s="42">
        <v>10</v>
      </c>
      <c r="W29" s="42">
        <v>10</v>
      </c>
      <c r="X29" s="42">
        <v>10</v>
      </c>
      <c r="Y29" s="43">
        <f t="shared" si="16"/>
        <v>10</v>
      </c>
      <c r="Z29" s="43">
        <f t="shared" si="17"/>
        <v>9.9</v>
      </c>
      <c r="AA29" s="44"/>
      <c r="AB29" s="45">
        <f t="shared" si="9"/>
        <v>30</v>
      </c>
    </row>
    <row r="30" spans="1:28" s="10" customFormat="1" ht="15" thickBot="1" x14ac:dyDescent="0.35"/>
    <row r="31" spans="1:28" s="10" customFormat="1" ht="21" customHeight="1" x14ac:dyDescent="0.3">
      <c r="A31" s="181" t="s">
        <v>37</v>
      </c>
      <c r="B31" s="196" t="s">
        <v>12</v>
      </c>
      <c r="C31" s="197"/>
      <c r="D31" s="150" t="s">
        <v>29</v>
      </c>
      <c r="E31" s="146"/>
      <c r="F31" s="146"/>
      <c r="G31" s="147"/>
      <c r="H31" s="187" t="s">
        <v>10</v>
      </c>
      <c r="I31" s="188"/>
      <c r="J31" s="33"/>
      <c r="K31" s="154" t="s">
        <v>65</v>
      </c>
      <c r="L31" s="154"/>
      <c r="M31" s="154"/>
      <c r="N31" s="154"/>
      <c r="O31" s="154"/>
      <c r="P31" s="154"/>
      <c r="Q31" s="154"/>
      <c r="R31" s="154"/>
      <c r="T31" s="183" t="s">
        <v>56</v>
      </c>
      <c r="U31" s="184"/>
      <c r="V31" s="184"/>
      <c r="W31" s="204" t="s">
        <v>69</v>
      </c>
      <c r="X31" s="204"/>
      <c r="Y31" s="204"/>
      <c r="Z31" s="204"/>
      <c r="AA31" s="204"/>
      <c r="AB31" s="205"/>
    </row>
    <row r="32" spans="1:28" s="10" customFormat="1" ht="21" customHeight="1" thickBot="1" x14ac:dyDescent="0.35">
      <c r="A32" s="182"/>
      <c r="B32" s="198"/>
      <c r="C32" s="199"/>
      <c r="D32" s="134" t="s">
        <v>30</v>
      </c>
      <c r="E32" s="135"/>
      <c r="F32" s="135"/>
      <c r="G32" s="136"/>
      <c r="H32" s="132" t="s">
        <v>13</v>
      </c>
      <c r="I32" s="133"/>
      <c r="J32" s="33"/>
      <c r="K32" s="34"/>
      <c r="L32" s="210" t="s">
        <v>26</v>
      </c>
      <c r="M32" s="210"/>
      <c r="N32" s="210"/>
      <c r="O32" s="210"/>
      <c r="P32" s="210"/>
      <c r="Q32" s="129" t="s">
        <v>10</v>
      </c>
      <c r="R32" s="130"/>
      <c r="T32" s="185" t="s">
        <v>57</v>
      </c>
      <c r="U32" s="186"/>
      <c r="V32" s="186"/>
      <c r="W32" s="206" t="s">
        <v>70</v>
      </c>
      <c r="X32" s="206"/>
      <c r="Y32" s="206"/>
      <c r="Z32" s="206"/>
      <c r="AA32" s="206"/>
      <c r="AB32" s="207"/>
    </row>
    <row r="33" spans="1:28" s="10" customFormat="1" ht="21" customHeight="1" x14ac:dyDescent="0.3">
      <c r="A33" s="17" t="s">
        <v>62</v>
      </c>
      <c r="B33" s="189">
        <v>0</v>
      </c>
      <c r="C33" s="190"/>
      <c r="D33" s="193"/>
      <c r="E33" s="194"/>
      <c r="F33" s="194"/>
      <c r="G33" s="195"/>
      <c r="H33" s="127">
        <f>SUM(J7,S7,AB7,J20,S20,AB20,-B33)</f>
        <v>178.8</v>
      </c>
      <c r="I33" s="128"/>
      <c r="J33" s="33"/>
      <c r="K33" s="70">
        <v>1</v>
      </c>
      <c r="L33" s="70" t="s">
        <v>45</v>
      </c>
      <c r="M33" s="72"/>
      <c r="N33" s="72"/>
      <c r="O33" s="72"/>
      <c r="P33" s="71"/>
      <c r="Q33" s="211">
        <v>179.5</v>
      </c>
      <c r="R33" s="212"/>
      <c r="T33" s="185" t="s">
        <v>58</v>
      </c>
      <c r="U33" s="186"/>
      <c r="V33" s="186"/>
      <c r="W33" s="206" t="s">
        <v>71</v>
      </c>
      <c r="X33" s="206"/>
      <c r="Y33" s="206"/>
      <c r="Z33" s="206"/>
      <c r="AA33" s="206"/>
      <c r="AB33" s="207"/>
    </row>
    <row r="34" spans="1:28" s="10" customFormat="1" ht="21" customHeight="1" x14ac:dyDescent="0.3">
      <c r="A34" s="21" t="s">
        <v>33</v>
      </c>
      <c r="B34" s="116">
        <v>0</v>
      </c>
      <c r="C34" s="117"/>
      <c r="D34" s="111"/>
      <c r="E34" s="112"/>
      <c r="F34" s="112"/>
      <c r="G34" s="113"/>
      <c r="H34" s="118">
        <f t="shared" ref="H34:H42" si="18">SUM(J8,S8,AB8,J21,S21,AB21)-B34</f>
        <v>177.7</v>
      </c>
      <c r="I34" s="119"/>
      <c r="J34" s="33"/>
      <c r="K34" s="61">
        <v>2</v>
      </c>
      <c r="L34" s="73" t="s">
        <v>62</v>
      </c>
      <c r="M34" s="74"/>
      <c r="N34" s="74"/>
      <c r="O34" s="74"/>
      <c r="P34" s="75"/>
      <c r="Q34" s="76">
        <v>178.8</v>
      </c>
      <c r="R34" s="77"/>
      <c r="T34" s="185" t="s">
        <v>59</v>
      </c>
      <c r="U34" s="186"/>
      <c r="V34" s="186"/>
      <c r="W34" s="206" t="s">
        <v>74</v>
      </c>
      <c r="X34" s="206"/>
      <c r="Y34" s="206"/>
      <c r="Z34" s="206"/>
      <c r="AA34" s="206"/>
      <c r="AB34" s="207"/>
    </row>
    <row r="35" spans="1:28" s="10" customFormat="1" ht="21" customHeight="1" thickBot="1" x14ac:dyDescent="0.35">
      <c r="A35" s="21" t="s">
        <v>47</v>
      </c>
      <c r="B35" s="116">
        <v>0</v>
      </c>
      <c r="C35" s="117"/>
      <c r="D35" s="111"/>
      <c r="E35" s="112"/>
      <c r="F35" s="112"/>
      <c r="G35" s="113"/>
      <c r="H35" s="118">
        <f t="shared" si="18"/>
        <v>178.70000000000002</v>
      </c>
      <c r="I35" s="119"/>
      <c r="J35" s="33"/>
      <c r="K35" s="61">
        <v>3</v>
      </c>
      <c r="L35" s="78" t="s">
        <v>47</v>
      </c>
      <c r="M35" s="79"/>
      <c r="N35" s="79"/>
      <c r="O35" s="79"/>
      <c r="P35" s="80"/>
      <c r="Q35" s="76">
        <v>178.7</v>
      </c>
      <c r="R35" s="77"/>
      <c r="T35" s="202" t="s">
        <v>60</v>
      </c>
      <c r="U35" s="203"/>
      <c r="V35" s="203"/>
      <c r="W35" s="208" t="s">
        <v>72</v>
      </c>
      <c r="X35" s="208"/>
      <c r="Y35" s="208"/>
      <c r="Z35" s="208"/>
      <c r="AA35" s="208"/>
      <c r="AB35" s="209"/>
    </row>
    <row r="36" spans="1:28" s="10" customFormat="1" ht="21" customHeight="1" x14ac:dyDescent="0.3">
      <c r="A36" s="21" t="s">
        <v>28</v>
      </c>
      <c r="B36" s="116">
        <v>0</v>
      </c>
      <c r="C36" s="117"/>
      <c r="D36" s="111"/>
      <c r="E36" s="112"/>
      <c r="F36" s="112"/>
      <c r="G36" s="113"/>
      <c r="H36" s="118">
        <f t="shared" si="18"/>
        <v>177.9</v>
      </c>
      <c r="I36" s="119"/>
      <c r="J36" s="33"/>
      <c r="K36" s="61">
        <v>4</v>
      </c>
      <c r="L36" s="81" t="s">
        <v>42</v>
      </c>
      <c r="M36" s="82"/>
      <c r="N36" s="82"/>
      <c r="O36" s="82"/>
      <c r="P36" s="83"/>
      <c r="Q36" s="76">
        <v>178.4</v>
      </c>
      <c r="R36" s="77"/>
    </row>
    <row r="37" spans="1:28" s="10" customFormat="1" ht="21" customHeight="1" x14ac:dyDescent="0.3">
      <c r="A37" s="21" t="s">
        <v>32</v>
      </c>
      <c r="B37" s="116">
        <v>0</v>
      </c>
      <c r="C37" s="117"/>
      <c r="D37" s="111"/>
      <c r="E37" s="112"/>
      <c r="F37" s="112"/>
      <c r="G37" s="113"/>
      <c r="H37" s="118">
        <f t="shared" si="18"/>
        <v>177.4</v>
      </c>
      <c r="I37" s="119"/>
      <c r="J37" s="33"/>
      <c r="K37" s="61">
        <v>5</v>
      </c>
      <c r="L37" s="78" t="s">
        <v>28</v>
      </c>
      <c r="M37" s="79"/>
      <c r="N37" s="79"/>
      <c r="O37" s="79"/>
      <c r="P37" s="80"/>
      <c r="Q37" s="76">
        <v>177.9</v>
      </c>
      <c r="R37" s="77"/>
    </row>
    <row r="38" spans="1:28" s="10" customFormat="1" ht="21" customHeight="1" x14ac:dyDescent="0.3">
      <c r="A38" s="21" t="s">
        <v>48</v>
      </c>
      <c r="B38" s="116">
        <v>0</v>
      </c>
      <c r="C38" s="117"/>
      <c r="D38" s="111"/>
      <c r="E38" s="112"/>
      <c r="F38" s="112"/>
      <c r="G38" s="113"/>
      <c r="H38" s="118">
        <f t="shared" si="18"/>
        <v>177.4</v>
      </c>
      <c r="I38" s="119"/>
      <c r="J38" s="33"/>
      <c r="K38" s="34">
        <v>6</v>
      </c>
      <c r="L38" s="35" t="s">
        <v>33</v>
      </c>
      <c r="M38" s="48"/>
      <c r="N38" s="48"/>
      <c r="O38" s="48"/>
      <c r="P38" s="37"/>
      <c r="Q38" s="39">
        <v>177.7</v>
      </c>
      <c r="R38" s="38"/>
      <c r="T38" s="69"/>
      <c r="U38" s="69"/>
      <c r="V38" s="69"/>
      <c r="W38" s="69"/>
      <c r="X38" s="69"/>
      <c r="Y38" s="69"/>
    </row>
    <row r="39" spans="1:28" s="10" customFormat="1" ht="21" customHeight="1" x14ac:dyDescent="0.3">
      <c r="A39" s="27" t="s">
        <v>43</v>
      </c>
      <c r="B39" s="116" t="s">
        <v>76</v>
      </c>
      <c r="C39" s="117"/>
      <c r="D39" s="111" t="s">
        <v>78</v>
      </c>
      <c r="E39" s="112"/>
      <c r="F39" s="112"/>
      <c r="G39" s="113"/>
      <c r="H39" s="118" t="s">
        <v>76</v>
      </c>
      <c r="I39" s="119"/>
      <c r="J39" s="33"/>
      <c r="K39" s="34">
        <v>7</v>
      </c>
      <c r="L39" s="35" t="s">
        <v>32</v>
      </c>
      <c r="M39" s="48"/>
      <c r="N39" s="48"/>
      <c r="O39" s="48"/>
      <c r="P39" s="37"/>
      <c r="Q39" s="39">
        <v>177.4</v>
      </c>
      <c r="R39" s="3"/>
      <c r="S39" s="69" t="s">
        <v>75</v>
      </c>
    </row>
    <row r="40" spans="1:28" s="10" customFormat="1" ht="21" customHeight="1" x14ac:dyDescent="0.3">
      <c r="A40" s="21" t="s">
        <v>46</v>
      </c>
      <c r="B40" s="116">
        <v>0</v>
      </c>
      <c r="C40" s="117"/>
      <c r="D40" s="111"/>
      <c r="E40" s="112"/>
      <c r="F40" s="112"/>
      <c r="G40" s="113"/>
      <c r="H40" s="118">
        <f t="shared" si="18"/>
        <v>176.59999999999997</v>
      </c>
      <c r="I40" s="119"/>
      <c r="J40" s="33"/>
      <c r="K40" s="34">
        <v>8</v>
      </c>
      <c r="L40" s="35" t="s">
        <v>48</v>
      </c>
      <c r="M40" s="48"/>
      <c r="N40" s="48"/>
      <c r="O40" s="48"/>
      <c r="P40" s="37"/>
      <c r="Q40" s="39">
        <v>177.4</v>
      </c>
      <c r="R40" s="3"/>
    </row>
    <row r="41" spans="1:28" s="10" customFormat="1" ht="21" customHeight="1" x14ac:dyDescent="0.3">
      <c r="A41" s="21" t="s">
        <v>42</v>
      </c>
      <c r="B41" s="116">
        <v>0</v>
      </c>
      <c r="C41" s="117"/>
      <c r="D41" s="111"/>
      <c r="E41" s="112"/>
      <c r="F41" s="112"/>
      <c r="G41" s="113"/>
      <c r="H41" s="118">
        <f t="shared" si="18"/>
        <v>178.4</v>
      </c>
      <c r="I41" s="119"/>
      <c r="J41" s="33"/>
      <c r="K41" s="34">
        <v>9</v>
      </c>
      <c r="L41" s="46" t="s">
        <v>46</v>
      </c>
      <c r="M41" s="50"/>
      <c r="N41" s="50"/>
      <c r="O41" s="50"/>
      <c r="P41" s="51"/>
      <c r="Q41" s="52">
        <v>176.6</v>
      </c>
      <c r="R41" s="4"/>
    </row>
    <row r="42" spans="1:28" s="10" customFormat="1" ht="21" customHeight="1" thickBot="1" x14ac:dyDescent="0.35">
      <c r="A42" s="40" t="s">
        <v>45</v>
      </c>
      <c r="B42" s="120">
        <v>0</v>
      </c>
      <c r="C42" s="121"/>
      <c r="D42" s="122"/>
      <c r="E42" s="123"/>
      <c r="F42" s="123"/>
      <c r="G42" s="124"/>
      <c r="H42" s="114">
        <f t="shared" si="18"/>
        <v>179.49999999999997</v>
      </c>
      <c r="I42" s="115"/>
      <c r="J42" s="33"/>
      <c r="K42" s="34">
        <v>10</v>
      </c>
      <c r="L42" s="35" t="s">
        <v>43</v>
      </c>
      <c r="M42" s="35"/>
      <c r="N42" s="35"/>
      <c r="O42" s="35"/>
      <c r="P42" s="36"/>
      <c r="Q42" s="2" t="s">
        <v>76</v>
      </c>
      <c r="R42" s="3"/>
    </row>
    <row r="43" spans="1:28" s="10" customFormat="1" ht="21" customHeight="1" thickBot="1" x14ac:dyDescent="0.35"/>
    <row r="44" spans="1:28" s="10" customFormat="1" ht="21" customHeight="1" x14ac:dyDescent="0.3">
      <c r="L44" s="164" t="s">
        <v>14</v>
      </c>
      <c r="M44" s="165"/>
      <c r="N44" s="166"/>
      <c r="O44" s="167" t="s">
        <v>45</v>
      </c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9"/>
    </row>
    <row r="45" spans="1:28" s="10" customFormat="1" ht="21" customHeight="1" x14ac:dyDescent="0.3">
      <c r="L45" s="161" t="s">
        <v>15</v>
      </c>
      <c r="M45" s="162"/>
      <c r="N45" s="163"/>
      <c r="O45" s="170" t="s">
        <v>62</v>
      </c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2"/>
    </row>
    <row r="46" spans="1:28" s="10" customFormat="1" ht="21" customHeight="1" x14ac:dyDescent="0.3">
      <c r="L46" s="179" t="s">
        <v>16</v>
      </c>
      <c r="M46" s="154"/>
      <c r="N46" s="180"/>
      <c r="O46" s="173" t="s">
        <v>47</v>
      </c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</row>
    <row r="47" spans="1:28" s="10" customFormat="1" ht="21" customHeight="1" x14ac:dyDescent="0.3">
      <c r="L47" s="161" t="s">
        <v>17</v>
      </c>
      <c r="M47" s="162"/>
      <c r="N47" s="163"/>
      <c r="O47" s="170" t="s">
        <v>42</v>
      </c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2"/>
    </row>
    <row r="48" spans="1:28" s="10" customFormat="1" ht="21" customHeight="1" x14ac:dyDescent="0.3">
      <c r="L48" s="179" t="s">
        <v>18</v>
      </c>
      <c r="M48" s="154"/>
      <c r="N48" s="180"/>
      <c r="O48" s="173" t="s">
        <v>28</v>
      </c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5"/>
    </row>
    <row r="49" spans="12:28" s="10" customFormat="1" ht="21" customHeight="1" x14ac:dyDescent="0.3">
      <c r="L49" s="161" t="s">
        <v>19</v>
      </c>
      <c r="M49" s="162"/>
      <c r="N49" s="163"/>
      <c r="O49" s="155" t="s">
        <v>79</v>
      </c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7"/>
    </row>
    <row r="50" spans="12:28" s="10" customFormat="1" ht="21" customHeight="1" thickBot="1" x14ac:dyDescent="0.35">
      <c r="L50" s="176" t="s">
        <v>20</v>
      </c>
      <c r="M50" s="177"/>
      <c r="N50" s="178"/>
      <c r="O50" s="158" t="s">
        <v>73</v>
      </c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60"/>
    </row>
  </sheetData>
  <sortState xmlns:xlrd2="http://schemas.microsoft.com/office/spreadsheetml/2017/richdata2" ref="L33:Q41">
    <sortCondition descending="1" ref="Q41"/>
  </sortState>
  <mergeCells count="81">
    <mergeCell ref="L45:N45"/>
    <mergeCell ref="O45:AB45"/>
    <mergeCell ref="W33:AB33"/>
    <mergeCell ref="W31:AB31"/>
    <mergeCell ref="W32:AB32"/>
    <mergeCell ref="L49:N49"/>
    <mergeCell ref="O49:AB49"/>
    <mergeCell ref="L50:N50"/>
    <mergeCell ref="O50:AB50"/>
    <mergeCell ref="L46:N46"/>
    <mergeCell ref="O46:AB46"/>
    <mergeCell ref="L47:N47"/>
    <mergeCell ref="O47:AB47"/>
    <mergeCell ref="L48:N48"/>
    <mergeCell ref="O48:AB48"/>
    <mergeCell ref="B13:J13"/>
    <mergeCell ref="K13:S13"/>
    <mergeCell ref="T13:AB13"/>
    <mergeCell ref="B26:J26"/>
    <mergeCell ref="K26:S26"/>
    <mergeCell ref="T26:AB26"/>
    <mergeCell ref="B42:C42"/>
    <mergeCell ref="D42:G42"/>
    <mergeCell ref="H42:I42"/>
    <mergeCell ref="L44:N44"/>
    <mergeCell ref="O44:AB44"/>
    <mergeCell ref="B40:C40"/>
    <mergeCell ref="D40:G40"/>
    <mergeCell ref="H40:I40"/>
    <mergeCell ref="B41:C41"/>
    <mergeCell ref="D41:G41"/>
    <mergeCell ref="H41:I41"/>
    <mergeCell ref="B38:C38"/>
    <mergeCell ref="D38:G38"/>
    <mergeCell ref="H38:I38"/>
    <mergeCell ref="B39:C39"/>
    <mergeCell ref="D39:G39"/>
    <mergeCell ref="H39:I39"/>
    <mergeCell ref="B36:C36"/>
    <mergeCell ref="D36:G36"/>
    <mergeCell ref="H36:I36"/>
    <mergeCell ref="B37:C37"/>
    <mergeCell ref="D37:G37"/>
    <mergeCell ref="H37:I37"/>
    <mergeCell ref="B35:C35"/>
    <mergeCell ref="D35:G35"/>
    <mergeCell ref="H35:I35"/>
    <mergeCell ref="T35:V35"/>
    <mergeCell ref="W35:AB35"/>
    <mergeCell ref="B34:C34"/>
    <mergeCell ref="D34:G34"/>
    <mergeCell ref="H34:I34"/>
    <mergeCell ref="T34:V34"/>
    <mergeCell ref="W34:AB34"/>
    <mergeCell ref="B33:C33"/>
    <mergeCell ref="D33:G33"/>
    <mergeCell ref="H33:I33"/>
    <mergeCell ref="Q33:R33"/>
    <mergeCell ref="T33:V33"/>
    <mergeCell ref="A18:A19"/>
    <mergeCell ref="B18:J18"/>
    <mergeCell ref="K18:S18"/>
    <mergeCell ref="T18:AB18"/>
    <mergeCell ref="A31:A32"/>
    <mergeCell ref="B31:C32"/>
    <mergeCell ref="D31:G31"/>
    <mergeCell ref="H31:I31"/>
    <mergeCell ref="K31:R31"/>
    <mergeCell ref="T31:V31"/>
    <mergeCell ref="D32:G32"/>
    <mergeCell ref="H32:I32"/>
    <mergeCell ref="L32:P32"/>
    <mergeCell ref="Q32:R32"/>
    <mergeCell ref="T32:V32"/>
    <mergeCell ref="A1:AB1"/>
    <mergeCell ref="A2:AB2"/>
    <mergeCell ref="A3:AB3"/>
    <mergeCell ref="A5:A6"/>
    <mergeCell ref="B5:J5"/>
    <mergeCell ref="K5:S5"/>
    <mergeCell ref="T5:AB5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539A-2F4D-4150-9F12-3E96CC469E71}">
  <dimension ref="A1:AB50"/>
  <sheetViews>
    <sheetView topLeftCell="A14" zoomScale="110" zoomScaleNormal="110" workbookViewId="0">
      <selection activeCell="AB20" activeCellId="3" sqref="A20:A29 J20:J29 S20:S29 AB20:AB29"/>
    </sheetView>
  </sheetViews>
  <sheetFormatPr defaultRowHeight="14.4" x14ac:dyDescent="0.3"/>
  <cols>
    <col min="1" max="1" width="21.5546875" customWidth="1"/>
    <col min="2" max="8" width="4.6640625" customWidth="1"/>
    <col min="9" max="9" width="2" bestFit="1" customWidth="1"/>
    <col min="10" max="17" width="4.6640625" customWidth="1"/>
    <col min="18" max="18" width="2" bestFit="1" customWidth="1"/>
    <col min="19" max="26" width="4.6640625" customWidth="1"/>
    <col min="27" max="27" width="1.5546875" customWidth="1"/>
    <col min="28" max="28" width="4.6640625" customWidth="1"/>
  </cols>
  <sheetData>
    <row r="1" spans="1:28" x14ac:dyDescent="0.3">
      <c r="A1" s="137" t="s">
        <v>39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9"/>
    </row>
    <row r="2" spans="1:28" x14ac:dyDescent="0.3">
      <c r="A2" s="140" t="s">
        <v>67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2"/>
    </row>
    <row r="3" spans="1:28" ht="15" thickBot="1" x14ac:dyDescent="0.35">
      <c r="A3" s="143" t="s">
        <v>66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5"/>
    </row>
    <row r="4" spans="1:28" ht="3.7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s="10" customFormat="1" ht="21" customHeight="1" x14ac:dyDescent="0.3">
      <c r="A5" s="148" t="s">
        <v>0</v>
      </c>
      <c r="B5" s="150" t="s">
        <v>22</v>
      </c>
      <c r="C5" s="146"/>
      <c r="D5" s="146"/>
      <c r="E5" s="146"/>
      <c r="F5" s="146"/>
      <c r="G5" s="146"/>
      <c r="H5" s="146"/>
      <c r="I5" s="146"/>
      <c r="J5" s="147"/>
      <c r="K5" s="146" t="s">
        <v>1</v>
      </c>
      <c r="L5" s="146"/>
      <c r="M5" s="146"/>
      <c r="N5" s="146"/>
      <c r="O5" s="146"/>
      <c r="P5" s="146"/>
      <c r="Q5" s="146"/>
      <c r="R5" s="146"/>
      <c r="S5" s="147"/>
      <c r="T5" s="150" t="s">
        <v>31</v>
      </c>
      <c r="U5" s="146"/>
      <c r="V5" s="146"/>
      <c r="W5" s="146"/>
      <c r="X5" s="146"/>
      <c r="Y5" s="146"/>
      <c r="Z5" s="146"/>
      <c r="AA5" s="146"/>
      <c r="AB5" s="147"/>
    </row>
    <row r="6" spans="1:28" s="10" customFormat="1" ht="21" customHeight="1" thickBot="1" x14ac:dyDescent="0.35">
      <c r="A6" s="149"/>
      <c r="B6" s="11" t="s">
        <v>2</v>
      </c>
      <c r="C6" s="12" t="s">
        <v>3</v>
      </c>
      <c r="D6" s="12" t="s">
        <v>4</v>
      </c>
      <c r="E6" s="12" t="s">
        <v>5</v>
      </c>
      <c r="F6" s="12" t="s">
        <v>6</v>
      </c>
      <c r="G6" s="13" t="s">
        <v>24</v>
      </c>
      <c r="H6" s="13" t="s">
        <v>23</v>
      </c>
      <c r="I6" s="14" t="s">
        <v>7</v>
      </c>
      <c r="J6" s="15" t="s">
        <v>8</v>
      </c>
      <c r="K6" s="16" t="s">
        <v>2</v>
      </c>
      <c r="L6" s="12" t="s">
        <v>3</v>
      </c>
      <c r="M6" s="12" t="s">
        <v>4</v>
      </c>
      <c r="N6" s="12" t="s">
        <v>5</v>
      </c>
      <c r="O6" s="12" t="s">
        <v>6</v>
      </c>
      <c r="P6" s="13" t="s">
        <v>24</v>
      </c>
      <c r="Q6" s="13" t="s">
        <v>23</v>
      </c>
      <c r="R6" s="14" t="s">
        <v>7</v>
      </c>
      <c r="S6" s="15" t="s">
        <v>8</v>
      </c>
      <c r="T6" s="11" t="s">
        <v>2</v>
      </c>
      <c r="U6" s="12" t="s">
        <v>3</v>
      </c>
      <c r="V6" s="12" t="s">
        <v>4</v>
      </c>
      <c r="W6" s="12" t="s">
        <v>5</v>
      </c>
      <c r="X6" s="12" t="s">
        <v>6</v>
      </c>
      <c r="Y6" s="13" t="s">
        <v>24</v>
      </c>
      <c r="Z6" s="13" t="s">
        <v>23</v>
      </c>
      <c r="AA6" s="14" t="s">
        <v>7</v>
      </c>
      <c r="AB6" s="15" t="s">
        <v>8</v>
      </c>
    </row>
    <row r="7" spans="1:28" s="10" customFormat="1" ht="21" customHeight="1" x14ac:dyDescent="0.3">
      <c r="A7" s="17" t="s">
        <v>28</v>
      </c>
      <c r="B7" s="22">
        <v>9.9</v>
      </c>
      <c r="C7" s="23">
        <v>9.6999999999999993</v>
      </c>
      <c r="D7" s="23">
        <v>9.5</v>
      </c>
      <c r="E7" s="23">
        <v>9.6999999999999993</v>
      </c>
      <c r="F7" s="23">
        <v>9.6999999999999993</v>
      </c>
      <c r="G7" s="18">
        <f>MAX(B7:F7)</f>
        <v>9.9</v>
      </c>
      <c r="H7" s="18">
        <f>MIN(B7:F7)</f>
        <v>9.5</v>
      </c>
      <c r="I7" s="19"/>
      <c r="J7" s="20">
        <f t="shared" ref="J7:J16" si="0">(SUM(B7:F7)-SUM(G7:I7))</f>
        <v>29.1</v>
      </c>
      <c r="K7" s="22">
        <v>9.8000000000000007</v>
      </c>
      <c r="L7" s="23">
        <v>9.6999999999999993</v>
      </c>
      <c r="M7" s="23">
        <v>9.4</v>
      </c>
      <c r="N7" s="23">
        <v>10</v>
      </c>
      <c r="O7" s="23">
        <v>9.5</v>
      </c>
      <c r="P7" s="18">
        <f>MAX(K7:O7)</f>
        <v>10</v>
      </c>
      <c r="Q7" s="18">
        <f>MIN(K7:O7)</f>
        <v>9.4</v>
      </c>
      <c r="R7" s="19"/>
      <c r="S7" s="20">
        <f t="shared" ref="S7:S16" si="1">(SUM(K7:O7)-SUM(P7:R7))</f>
        <v>29</v>
      </c>
      <c r="T7" s="22">
        <v>10</v>
      </c>
      <c r="U7" s="23">
        <v>9.8000000000000007</v>
      </c>
      <c r="V7" s="23">
        <v>9.4</v>
      </c>
      <c r="W7" s="23">
        <v>9.8000000000000007</v>
      </c>
      <c r="X7" s="23">
        <v>9.6999999999999993</v>
      </c>
      <c r="Y7" s="18">
        <f>MAX(T7:X7)</f>
        <v>10</v>
      </c>
      <c r="Z7" s="18">
        <f>MIN(T7:X7)</f>
        <v>9.4</v>
      </c>
      <c r="AA7" s="19"/>
      <c r="AB7" s="20">
        <f t="shared" ref="AB7:AB16" si="2">(SUM(T7:X7)-SUM(Y7:AA7))</f>
        <v>29.300000000000004</v>
      </c>
    </row>
    <row r="8" spans="1:28" s="10" customFormat="1" ht="21" customHeight="1" x14ac:dyDescent="0.3">
      <c r="A8" s="21" t="s">
        <v>45</v>
      </c>
      <c r="B8" s="22">
        <v>9.8000000000000007</v>
      </c>
      <c r="C8" s="23">
        <v>9.6999999999999993</v>
      </c>
      <c r="D8" s="23">
        <v>9.8000000000000007</v>
      </c>
      <c r="E8" s="23">
        <v>9.8000000000000007</v>
      </c>
      <c r="F8" s="23">
        <v>9.6999999999999993</v>
      </c>
      <c r="G8" s="24">
        <f t="shared" ref="G8:G16" si="3">MAX(B8:F8)</f>
        <v>9.8000000000000007</v>
      </c>
      <c r="H8" s="24">
        <f t="shared" ref="H8:H16" si="4">MIN(B8:F8)</f>
        <v>9.6999999999999993</v>
      </c>
      <c r="I8" s="25"/>
      <c r="J8" s="26">
        <f t="shared" si="0"/>
        <v>29.299999999999997</v>
      </c>
      <c r="K8" s="22">
        <v>10</v>
      </c>
      <c r="L8" s="23">
        <v>9.6</v>
      </c>
      <c r="M8" s="23">
        <v>9.4</v>
      </c>
      <c r="N8" s="23">
        <v>10</v>
      </c>
      <c r="O8" s="23">
        <v>9.8000000000000007</v>
      </c>
      <c r="P8" s="24">
        <f t="shared" ref="P8:P16" si="5">MAX(K8:O8)</f>
        <v>10</v>
      </c>
      <c r="Q8" s="24">
        <f t="shared" ref="Q8:Q16" si="6">MIN(K8:O8)</f>
        <v>9.4</v>
      </c>
      <c r="R8" s="25"/>
      <c r="S8" s="26">
        <f t="shared" si="1"/>
        <v>29.4</v>
      </c>
      <c r="T8" s="22">
        <v>9.9</v>
      </c>
      <c r="U8" s="23">
        <v>10</v>
      </c>
      <c r="V8" s="23">
        <v>10</v>
      </c>
      <c r="W8" s="23">
        <v>10</v>
      </c>
      <c r="X8" s="23">
        <v>9.8000000000000007</v>
      </c>
      <c r="Y8" s="24">
        <f t="shared" ref="Y8:Y16" si="7">MAX(T8:X8)</f>
        <v>10</v>
      </c>
      <c r="Z8" s="24">
        <f t="shared" ref="Z8:Z16" si="8">MIN(T8:X8)</f>
        <v>9.8000000000000007</v>
      </c>
      <c r="AA8" s="25"/>
      <c r="AB8" s="26">
        <f t="shared" si="2"/>
        <v>29.900000000000002</v>
      </c>
    </row>
    <row r="9" spans="1:28" s="10" customFormat="1" ht="21" customHeight="1" x14ac:dyDescent="0.3">
      <c r="A9" s="21" t="s">
        <v>32</v>
      </c>
      <c r="B9" s="22">
        <v>9.6999999999999993</v>
      </c>
      <c r="C9" s="23">
        <v>9.6</v>
      </c>
      <c r="D9" s="23">
        <v>9.6999999999999993</v>
      </c>
      <c r="E9" s="23">
        <v>9.9</v>
      </c>
      <c r="F9" s="23">
        <v>9.6999999999999993</v>
      </c>
      <c r="G9" s="24">
        <f t="shared" si="3"/>
        <v>9.9</v>
      </c>
      <c r="H9" s="24">
        <f t="shared" si="4"/>
        <v>9.6</v>
      </c>
      <c r="I9" s="25"/>
      <c r="J9" s="26">
        <f t="shared" si="0"/>
        <v>29.099999999999994</v>
      </c>
      <c r="K9" s="22">
        <v>9.8000000000000007</v>
      </c>
      <c r="L9" s="23">
        <v>9.8000000000000007</v>
      </c>
      <c r="M9" s="23">
        <v>9.5</v>
      </c>
      <c r="N9" s="23">
        <v>10</v>
      </c>
      <c r="O9" s="23">
        <v>9.8000000000000007</v>
      </c>
      <c r="P9" s="24">
        <f t="shared" si="5"/>
        <v>10</v>
      </c>
      <c r="Q9" s="24">
        <f t="shared" si="6"/>
        <v>9.5</v>
      </c>
      <c r="R9" s="25"/>
      <c r="S9" s="26">
        <f t="shared" si="1"/>
        <v>29.400000000000006</v>
      </c>
      <c r="T9" s="22">
        <v>10</v>
      </c>
      <c r="U9" s="23">
        <v>9.8000000000000007</v>
      </c>
      <c r="V9" s="23">
        <v>10</v>
      </c>
      <c r="W9" s="23">
        <v>10</v>
      </c>
      <c r="X9" s="23">
        <v>9.8000000000000007</v>
      </c>
      <c r="Y9" s="24">
        <f t="shared" si="7"/>
        <v>10</v>
      </c>
      <c r="Z9" s="24">
        <f t="shared" si="8"/>
        <v>9.8000000000000007</v>
      </c>
      <c r="AA9" s="25"/>
      <c r="AB9" s="26">
        <f t="shared" si="2"/>
        <v>29.799999999999994</v>
      </c>
    </row>
    <row r="10" spans="1:28" s="10" customFormat="1" ht="21" customHeight="1" x14ac:dyDescent="0.3">
      <c r="A10" s="21" t="s">
        <v>62</v>
      </c>
      <c r="B10" s="22">
        <v>9.9</v>
      </c>
      <c r="C10" s="23">
        <v>9.8000000000000007</v>
      </c>
      <c r="D10" s="23">
        <v>9.8000000000000007</v>
      </c>
      <c r="E10" s="23">
        <v>10</v>
      </c>
      <c r="F10" s="23">
        <v>9.9</v>
      </c>
      <c r="G10" s="24">
        <f t="shared" si="3"/>
        <v>10</v>
      </c>
      <c r="H10" s="24">
        <f t="shared" si="4"/>
        <v>9.8000000000000007</v>
      </c>
      <c r="I10" s="25"/>
      <c r="J10" s="26">
        <f t="shared" si="0"/>
        <v>29.599999999999998</v>
      </c>
      <c r="K10" s="22">
        <v>10</v>
      </c>
      <c r="L10" s="23">
        <v>10</v>
      </c>
      <c r="M10" s="23">
        <v>9.6</v>
      </c>
      <c r="N10" s="23">
        <v>10</v>
      </c>
      <c r="O10" s="23">
        <v>10</v>
      </c>
      <c r="P10" s="24">
        <f t="shared" si="5"/>
        <v>10</v>
      </c>
      <c r="Q10" s="24">
        <f t="shared" si="6"/>
        <v>9.6</v>
      </c>
      <c r="R10" s="25"/>
      <c r="S10" s="26">
        <f t="shared" si="1"/>
        <v>30</v>
      </c>
      <c r="T10" s="22">
        <v>10</v>
      </c>
      <c r="U10" s="23">
        <v>10</v>
      </c>
      <c r="V10" s="23">
        <v>10</v>
      </c>
      <c r="W10" s="23">
        <v>10</v>
      </c>
      <c r="X10" s="23">
        <v>10</v>
      </c>
      <c r="Y10" s="24">
        <f t="shared" si="7"/>
        <v>10</v>
      </c>
      <c r="Z10" s="24">
        <f t="shared" si="8"/>
        <v>10</v>
      </c>
      <c r="AA10" s="25"/>
      <c r="AB10" s="26">
        <f t="shared" si="2"/>
        <v>30</v>
      </c>
    </row>
    <row r="11" spans="1:28" s="10" customFormat="1" ht="21" customHeight="1" x14ac:dyDescent="0.3">
      <c r="A11" s="21" t="s">
        <v>48</v>
      </c>
      <c r="B11" s="22">
        <v>9.6</v>
      </c>
      <c r="C11" s="23">
        <v>9.5</v>
      </c>
      <c r="D11" s="23">
        <v>9.4</v>
      </c>
      <c r="E11" s="23">
        <v>9.6</v>
      </c>
      <c r="F11" s="23">
        <v>9.4</v>
      </c>
      <c r="G11" s="24">
        <f t="shared" si="3"/>
        <v>9.6</v>
      </c>
      <c r="H11" s="24">
        <f t="shared" si="4"/>
        <v>9.4</v>
      </c>
      <c r="I11" s="25"/>
      <c r="J11" s="26">
        <f t="shared" si="0"/>
        <v>28.5</v>
      </c>
      <c r="K11" s="22">
        <v>9.8000000000000007</v>
      </c>
      <c r="L11" s="23">
        <v>9.9</v>
      </c>
      <c r="M11" s="23">
        <v>9.4</v>
      </c>
      <c r="N11" s="23">
        <v>10</v>
      </c>
      <c r="O11" s="23">
        <v>9.6</v>
      </c>
      <c r="P11" s="24">
        <f t="shared" si="5"/>
        <v>10</v>
      </c>
      <c r="Q11" s="24">
        <f t="shared" si="6"/>
        <v>9.4</v>
      </c>
      <c r="R11" s="25"/>
      <c r="S11" s="26">
        <f t="shared" si="1"/>
        <v>29.300000000000004</v>
      </c>
      <c r="T11" s="22">
        <v>9.9</v>
      </c>
      <c r="U11" s="23">
        <v>9.6999999999999993</v>
      </c>
      <c r="V11" s="23">
        <v>9.3000000000000007</v>
      </c>
      <c r="W11" s="23">
        <v>9.6999999999999993</v>
      </c>
      <c r="X11" s="23">
        <v>9.6</v>
      </c>
      <c r="Y11" s="24">
        <f t="shared" si="7"/>
        <v>9.9</v>
      </c>
      <c r="Z11" s="24">
        <f t="shared" si="8"/>
        <v>9.3000000000000007</v>
      </c>
      <c r="AA11" s="25"/>
      <c r="AB11" s="26">
        <f t="shared" si="2"/>
        <v>29</v>
      </c>
    </row>
    <row r="12" spans="1:28" s="10" customFormat="1" ht="21" customHeight="1" x14ac:dyDescent="0.3">
      <c r="A12" s="21" t="s">
        <v>46</v>
      </c>
      <c r="B12" s="22">
        <v>9.6</v>
      </c>
      <c r="C12" s="23">
        <v>9.4</v>
      </c>
      <c r="D12" s="23">
        <v>9.3000000000000007</v>
      </c>
      <c r="E12" s="23">
        <v>9.6</v>
      </c>
      <c r="F12" s="23">
        <v>9.6999999999999993</v>
      </c>
      <c r="G12" s="24">
        <f t="shared" si="3"/>
        <v>9.6999999999999993</v>
      </c>
      <c r="H12" s="24">
        <f t="shared" si="4"/>
        <v>9.3000000000000007</v>
      </c>
      <c r="I12" s="25"/>
      <c r="J12" s="26">
        <f t="shared" si="0"/>
        <v>28.599999999999994</v>
      </c>
      <c r="K12" s="22">
        <v>9.9</v>
      </c>
      <c r="L12" s="23">
        <v>9.6</v>
      </c>
      <c r="M12" s="23">
        <v>9.3000000000000007</v>
      </c>
      <c r="N12" s="23">
        <v>9.8000000000000007</v>
      </c>
      <c r="O12" s="23">
        <v>9.8000000000000007</v>
      </c>
      <c r="P12" s="24">
        <f t="shared" si="5"/>
        <v>9.9</v>
      </c>
      <c r="Q12" s="24">
        <f t="shared" si="6"/>
        <v>9.3000000000000007</v>
      </c>
      <c r="R12" s="25"/>
      <c r="S12" s="26">
        <f t="shared" si="1"/>
        <v>29.200000000000003</v>
      </c>
      <c r="T12" s="22">
        <v>9.8000000000000007</v>
      </c>
      <c r="U12" s="23">
        <v>9.6</v>
      </c>
      <c r="V12" s="23">
        <v>9.3000000000000007</v>
      </c>
      <c r="W12" s="23">
        <v>9.6999999999999993</v>
      </c>
      <c r="X12" s="23">
        <v>9.6999999999999993</v>
      </c>
      <c r="Y12" s="24">
        <f t="shared" si="7"/>
        <v>9.8000000000000007</v>
      </c>
      <c r="Z12" s="24">
        <f t="shared" si="8"/>
        <v>9.3000000000000007</v>
      </c>
      <c r="AA12" s="25"/>
      <c r="AB12" s="26">
        <f t="shared" si="2"/>
        <v>28.999999999999993</v>
      </c>
    </row>
    <row r="13" spans="1:28" s="10" customFormat="1" ht="21" customHeight="1" x14ac:dyDescent="0.3">
      <c r="A13" s="27" t="s">
        <v>33</v>
      </c>
      <c r="B13" s="22">
        <v>9.9</v>
      </c>
      <c r="C13" s="23">
        <v>9.9</v>
      </c>
      <c r="D13" s="23">
        <v>10</v>
      </c>
      <c r="E13" s="23">
        <v>10</v>
      </c>
      <c r="F13" s="23">
        <v>9.8000000000000007</v>
      </c>
      <c r="G13" s="24">
        <f t="shared" si="3"/>
        <v>10</v>
      </c>
      <c r="H13" s="24">
        <f t="shared" si="4"/>
        <v>9.8000000000000007</v>
      </c>
      <c r="I13" s="25"/>
      <c r="J13" s="26">
        <f t="shared" si="0"/>
        <v>29.799999999999994</v>
      </c>
      <c r="K13" s="22">
        <v>10</v>
      </c>
      <c r="L13" s="23">
        <v>10</v>
      </c>
      <c r="M13" s="23">
        <v>9.9</v>
      </c>
      <c r="N13" s="23">
        <v>10</v>
      </c>
      <c r="O13" s="23">
        <v>9.9</v>
      </c>
      <c r="P13" s="24">
        <f t="shared" si="5"/>
        <v>10</v>
      </c>
      <c r="Q13" s="24">
        <f t="shared" si="6"/>
        <v>9.9</v>
      </c>
      <c r="R13" s="25"/>
      <c r="S13" s="26">
        <f t="shared" si="1"/>
        <v>29.9</v>
      </c>
      <c r="T13" s="22">
        <v>10</v>
      </c>
      <c r="U13" s="23">
        <v>10</v>
      </c>
      <c r="V13" s="23">
        <v>10</v>
      </c>
      <c r="W13" s="23">
        <v>10</v>
      </c>
      <c r="X13" s="23">
        <v>9.9</v>
      </c>
      <c r="Y13" s="24">
        <f t="shared" si="7"/>
        <v>10</v>
      </c>
      <c r="Z13" s="24">
        <f t="shared" si="8"/>
        <v>9.9</v>
      </c>
      <c r="AA13" s="25"/>
      <c r="AB13" s="26">
        <f t="shared" si="2"/>
        <v>30</v>
      </c>
    </row>
    <row r="14" spans="1:28" s="10" customFormat="1" ht="21" customHeight="1" x14ac:dyDescent="0.3">
      <c r="A14" s="21" t="s">
        <v>43</v>
      </c>
      <c r="B14" s="22">
        <v>9.5</v>
      </c>
      <c r="C14" s="23">
        <v>9.4</v>
      </c>
      <c r="D14" s="23">
        <v>9.5</v>
      </c>
      <c r="E14" s="23">
        <v>9.5</v>
      </c>
      <c r="F14" s="23">
        <v>9.5</v>
      </c>
      <c r="G14" s="24">
        <f t="shared" si="3"/>
        <v>9.5</v>
      </c>
      <c r="H14" s="24">
        <f t="shared" si="4"/>
        <v>9.4</v>
      </c>
      <c r="I14" s="25"/>
      <c r="J14" s="26">
        <f t="shared" si="0"/>
        <v>28.5</v>
      </c>
      <c r="K14" s="22">
        <v>9.6999999999999993</v>
      </c>
      <c r="L14" s="23">
        <v>9.6</v>
      </c>
      <c r="M14" s="23">
        <v>9.5</v>
      </c>
      <c r="N14" s="23">
        <v>9.8000000000000007</v>
      </c>
      <c r="O14" s="23">
        <v>9.6</v>
      </c>
      <c r="P14" s="24">
        <f t="shared" si="5"/>
        <v>9.8000000000000007</v>
      </c>
      <c r="Q14" s="24">
        <f t="shared" si="6"/>
        <v>9.5</v>
      </c>
      <c r="R14" s="25"/>
      <c r="S14" s="26">
        <f t="shared" si="1"/>
        <v>28.899999999999995</v>
      </c>
      <c r="T14" s="22">
        <v>9.6999999999999993</v>
      </c>
      <c r="U14" s="23">
        <v>9.6</v>
      </c>
      <c r="V14" s="23">
        <v>9.4</v>
      </c>
      <c r="W14" s="23">
        <v>9.6</v>
      </c>
      <c r="X14" s="23">
        <v>9.6999999999999993</v>
      </c>
      <c r="Y14" s="24">
        <f t="shared" si="7"/>
        <v>9.6999999999999993</v>
      </c>
      <c r="Z14" s="24">
        <f t="shared" si="8"/>
        <v>9.4</v>
      </c>
      <c r="AA14" s="25"/>
      <c r="AB14" s="26">
        <f t="shared" si="2"/>
        <v>28.9</v>
      </c>
    </row>
    <row r="15" spans="1:28" s="10" customFormat="1" ht="21" customHeight="1" x14ac:dyDescent="0.3">
      <c r="A15" s="21" t="s">
        <v>42</v>
      </c>
      <c r="B15" s="22">
        <v>9.8000000000000007</v>
      </c>
      <c r="C15" s="23">
        <v>9.5</v>
      </c>
      <c r="D15" s="23">
        <v>9.8000000000000007</v>
      </c>
      <c r="E15" s="23">
        <v>9.9</v>
      </c>
      <c r="F15" s="23">
        <v>9.6999999999999993</v>
      </c>
      <c r="G15" s="24">
        <f t="shared" si="3"/>
        <v>9.9</v>
      </c>
      <c r="H15" s="24">
        <f t="shared" si="4"/>
        <v>9.5</v>
      </c>
      <c r="I15" s="25"/>
      <c r="J15" s="26">
        <f t="shared" si="0"/>
        <v>29.300000000000004</v>
      </c>
      <c r="K15" s="22">
        <v>10</v>
      </c>
      <c r="L15" s="23">
        <v>9.6999999999999993</v>
      </c>
      <c r="M15" s="23">
        <v>9.9</v>
      </c>
      <c r="N15" s="23">
        <v>10</v>
      </c>
      <c r="O15" s="23">
        <v>9.9</v>
      </c>
      <c r="P15" s="24">
        <f t="shared" si="5"/>
        <v>10</v>
      </c>
      <c r="Q15" s="24">
        <f t="shared" si="6"/>
        <v>9.6999999999999993</v>
      </c>
      <c r="R15" s="25"/>
      <c r="S15" s="26">
        <f t="shared" si="1"/>
        <v>29.8</v>
      </c>
      <c r="T15" s="22">
        <v>10</v>
      </c>
      <c r="U15" s="23">
        <v>9.5</v>
      </c>
      <c r="V15" s="23">
        <v>9.5</v>
      </c>
      <c r="W15" s="23">
        <v>10</v>
      </c>
      <c r="X15" s="23">
        <v>9.8000000000000007</v>
      </c>
      <c r="Y15" s="24">
        <f t="shared" si="7"/>
        <v>10</v>
      </c>
      <c r="Z15" s="24">
        <f t="shared" si="8"/>
        <v>9.5</v>
      </c>
      <c r="AA15" s="25"/>
      <c r="AB15" s="26">
        <f t="shared" si="2"/>
        <v>29.299999999999997</v>
      </c>
    </row>
    <row r="16" spans="1:28" s="10" customFormat="1" ht="21" customHeight="1" thickBot="1" x14ac:dyDescent="0.35">
      <c r="A16" s="40" t="s">
        <v>47</v>
      </c>
      <c r="B16" s="41">
        <v>9.6999999999999993</v>
      </c>
      <c r="C16" s="42">
        <v>9.6999999999999993</v>
      </c>
      <c r="D16" s="42">
        <v>9.3000000000000007</v>
      </c>
      <c r="E16" s="42">
        <v>9.5</v>
      </c>
      <c r="F16" s="42">
        <v>9.6999999999999993</v>
      </c>
      <c r="G16" s="43">
        <f t="shared" si="3"/>
        <v>9.6999999999999993</v>
      </c>
      <c r="H16" s="43">
        <f t="shared" si="4"/>
        <v>9.3000000000000007</v>
      </c>
      <c r="I16" s="44"/>
      <c r="J16" s="45">
        <f t="shared" si="0"/>
        <v>28.900000000000006</v>
      </c>
      <c r="K16" s="41">
        <v>9.9</v>
      </c>
      <c r="L16" s="42">
        <v>9.8000000000000007</v>
      </c>
      <c r="M16" s="42">
        <v>9.4</v>
      </c>
      <c r="N16" s="42">
        <v>10</v>
      </c>
      <c r="O16" s="42">
        <v>9.8000000000000007</v>
      </c>
      <c r="P16" s="43">
        <f t="shared" si="5"/>
        <v>10</v>
      </c>
      <c r="Q16" s="43">
        <f t="shared" si="6"/>
        <v>9.4</v>
      </c>
      <c r="R16" s="44"/>
      <c r="S16" s="45">
        <f t="shared" si="1"/>
        <v>29.500000000000007</v>
      </c>
      <c r="T16" s="41">
        <v>9.8000000000000007</v>
      </c>
      <c r="U16" s="42">
        <v>10</v>
      </c>
      <c r="V16" s="42">
        <v>9.6</v>
      </c>
      <c r="W16" s="42">
        <v>10</v>
      </c>
      <c r="X16" s="42">
        <v>9.6999999999999993</v>
      </c>
      <c r="Y16" s="43">
        <f t="shared" si="7"/>
        <v>10</v>
      </c>
      <c r="Z16" s="43">
        <f t="shared" si="8"/>
        <v>9.6</v>
      </c>
      <c r="AA16" s="44"/>
      <c r="AB16" s="45">
        <f t="shared" si="2"/>
        <v>29.499999999999993</v>
      </c>
    </row>
    <row r="17" spans="1:28" s="10" customFormat="1" ht="4.2" customHeight="1" thickBot="1" x14ac:dyDescent="0.35">
      <c r="A17" s="28"/>
      <c r="B17" s="29"/>
      <c r="C17" s="29"/>
      <c r="D17" s="29"/>
      <c r="E17" s="29"/>
      <c r="F17" s="29"/>
      <c r="G17" s="29"/>
      <c r="H17" s="29"/>
      <c r="I17" s="30"/>
      <c r="J17" s="31"/>
      <c r="K17" s="29"/>
      <c r="L17" s="29"/>
      <c r="M17" s="29"/>
      <c r="N17" s="29"/>
      <c r="O17" s="29"/>
      <c r="P17" s="29"/>
      <c r="Q17" s="29"/>
      <c r="R17" s="32"/>
      <c r="S17" s="31"/>
      <c r="T17" s="29"/>
      <c r="U17" s="29"/>
      <c r="V17" s="29"/>
      <c r="W17" s="29"/>
      <c r="X17" s="29"/>
      <c r="Y17" s="29"/>
      <c r="Z17" s="29"/>
      <c r="AA17" s="32"/>
      <c r="AB17" s="31"/>
    </row>
    <row r="18" spans="1:28" s="10" customFormat="1" ht="21" customHeight="1" x14ac:dyDescent="0.3">
      <c r="A18" s="148" t="s">
        <v>0</v>
      </c>
      <c r="B18" s="151" t="s">
        <v>21</v>
      </c>
      <c r="C18" s="152"/>
      <c r="D18" s="152"/>
      <c r="E18" s="152"/>
      <c r="F18" s="152"/>
      <c r="G18" s="152"/>
      <c r="H18" s="152"/>
      <c r="I18" s="152"/>
      <c r="J18" s="153"/>
      <c r="K18" s="146" t="s">
        <v>9</v>
      </c>
      <c r="L18" s="146"/>
      <c r="M18" s="146"/>
      <c r="N18" s="146"/>
      <c r="O18" s="146"/>
      <c r="P18" s="146"/>
      <c r="Q18" s="146"/>
      <c r="R18" s="146"/>
      <c r="S18" s="147"/>
      <c r="T18" s="146" t="s">
        <v>25</v>
      </c>
      <c r="U18" s="146"/>
      <c r="V18" s="146"/>
      <c r="W18" s="146"/>
      <c r="X18" s="146"/>
      <c r="Y18" s="146"/>
      <c r="Z18" s="146"/>
      <c r="AA18" s="146"/>
      <c r="AB18" s="147"/>
    </row>
    <row r="19" spans="1:28" s="10" customFormat="1" ht="21" customHeight="1" thickBot="1" x14ac:dyDescent="0.35">
      <c r="A19" s="149"/>
      <c r="B19" s="11" t="s">
        <v>2</v>
      </c>
      <c r="C19" s="12" t="s">
        <v>3</v>
      </c>
      <c r="D19" s="12" t="s">
        <v>4</v>
      </c>
      <c r="E19" s="12" t="s">
        <v>5</v>
      </c>
      <c r="F19" s="12" t="s">
        <v>6</v>
      </c>
      <c r="G19" s="13" t="s">
        <v>24</v>
      </c>
      <c r="H19" s="13" t="s">
        <v>23</v>
      </c>
      <c r="I19" s="14" t="s">
        <v>7</v>
      </c>
      <c r="J19" s="15" t="s">
        <v>8</v>
      </c>
      <c r="K19" s="12" t="s">
        <v>2</v>
      </c>
      <c r="L19" s="12" t="s">
        <v>3</v>
      </c>
      <c r="M19" s="12" t="s">
        <v>4</v>
      </c>
      <c r="N19" s="12" t="s">
        <v>5</v>
      </c>
      <c r="O19" s="12" t="s">
        <v>6</v>
      </c>
      <c r="P19" s="13" t="s">
        <v>24</v>
      </c>
      <c r="Q19" s="13" t="s">
        <v>23</v>
      </c>
      <c r="R19" s="14" t="s">
        <v>7</v>
      </c>
      <c r="S19" s="15" t="s">
        <v>8</v>
      </c>
      <c r="T19" s="12" t="s">
        <v>2</v>
      </c>
      <c r="U19" s="12" t="s">
        <v>3</v>
      </c>
      <c r="V19" s="12" t="s">
        <v>4</v>
      </c>
      <c r="W19" s="12" t="s">
        <v>5</v>
      </c>
      <c r="X19" s="12" t="s">
        <v>6</v>
      </c>
      <c r="Y19" s="13" t="s">
        <v>24</v>
      </c>
      <c r="Z19" s="13" t="s">
        <v>23</v>
      </c>
      <c r="AA19" s="14" t="s">
        <v>7</v>
      </c>
      <c r="AB19" s="15" t="s">
        <v>8</v>
      </c>
    </row>
    <row r="20" spans="1:28" s="10" customFormat="1" ht="21" customHeight="1" x14ac:dyDescent="0.3">
      <c r="A20" s="17" t="s">
        <v>28</v>
      </c>
      <c r="B20" s="22">
        <v>9.9</v>
      </c>
      <c r="C20" s="23">
        <v>9.8000000000000007</v>
      </c>
      <c r="D20" s="23">
        <v>9.6999999999999993</v>
      </c>
      <c r="E20" s="23">
        <v>9.8000000000000007</v>
      </c>
      <c r="F20" s="23">
        <v>10</v>
      </c>
      <c r="G20" s="18">
        <f>MAX(B20:F20)</f>
        <v>10</v>
      </c>
      <c r="H20" s="18">
        <f>MIN(B20:F20)</f>
        <v>9.6999999999999993</v>
      </c>
      <c r="I20" s="19"/>
      <c r="J20" s="20">
        <f>(SUM(B20:F20)-SUM(G20:I20))</f>
        <v>29.500000000000004</v>
      </c>
      <c r="K20" s="22">
        <v>10</v>
      </c>
      <c r="L20" s="23">
        <v>10</v>
      </c>
      <c r="M20" s="23">
        <v>9.4</v>
      </c>
      <c r="N20" s="23">
        <v>10</v>
      </c>
      <c r="O20" s="23">
        <v>9.6999999999999993</v>
      </c>
      <c r="P20" s="18">
        <f>MAX(K20:O20)</f>
        <v>10</v>
      </c>
      <c r="Q20" s="18">
        <f>MIN(K20:O20)</f>
        <v>9.4</v>
      </c>
      <c r="R20" s="19"/>
      <c r="S20" s="20">
        <f>(SUM(K20:O20)-SUM(P20:R20))</f>
        <v>29.699999999999996</v>
      </c>
      <c r="T20" s="22">
        <v>10</v>
      </c>
      <c r="U20" s="23">
        <v>9.6</v>
      </c>
      <c r="V20" s="23">
        <v>9.6999999999999993</v>
      </c>
      <c r="W20" s="23">
        <v>10</v>
      </c>
      <c r="X20" s="23">
        <v>9.9</v>
      </c>
      <c r="Y20" s="18">
        <f>MAX(T20:X20)</f>
        <v>10</v>
      </c>
      <c r="Z20" s="18">
        <f>MIN(T20:X20)</f>
        <v>9.6</v>
      </c>
      <c r="AA20" s="19"/>
      <c r="AB20" s="20">
        <f t="shared" ref="AB20:AB29" si="9">(SUM(T20:X20)-SUM(Y20:AA20))</f>
        <v>29.599999999999994</v>
      </c>
    </row>
    <row r="21" spans="1:28" s="10" customFormat="1" ht="21" customHeight="1" x14ac:dyDescent="0.3">
      <c r="A21" s="21" t="s">
        <v>45</v>
      </c>
      <c r="B21" s="22">
        <v>10</v>
      </c>
      <c r="C21" s="23">
        <v>9.9</v>
      </c>
      <c r="D21" s="23">
        <v>10</v>
      </c>
      <c r="E21" s="23">
        <v>9.6999999999999993</v>
      </c>
      <c r="F21" s="23">
        <v>9.6999999999999993</v>
      </c>
      <c r="G21" s="24">
        <f t="shared" ref="G21:G29" si="10">MAX(B21:F21)</f>
        <v>10</v>
      </c>
      <c r="H21" s="24">
        <f t="shared" ref="H21:H29" si="11">MIN(B21:F21)</f>
        <v>9.6999999999999993</v>
      </c>
      <c r="I21" s="25"/>
      <c r="J21" s="26">
        <f t="shared" ref="J21:J29" si="12">(SUM(B21:F21)-SUM(G21:I21))</f>
        <v>29.599999999999998</v>
      </c>
      <c r="K21" s="22">
        <v>10</v>
      </c>
      <c r="L21" s="23">
        <v>10</v>
      </c>
      <c r="M21" s="23">
        <v>9.8000000000000007</v>
      </c>
      <c r="N21" s="23">
        <v>9.6999999999999993</v>
      </c>
      <c r="O21" s="23">
        <v>9.8000000000000007</v>
      </c>
      <c r="P21" s="24">
        <f t="shared" ref="P21:P29" si="13">MAX(K21:O21)</f>
        <v>10</v>
      </c>
      <c r="Q21" s="24">
        <f t="shared" ref="Q21:Q29" si="14">MIN(K21:O21)</f>
        <v>9.6999999999999993</v>
      </c>
      <c r="R21" s="25"/>
      <c r="S21" s="26">
        <f t="shared" ref="S21:S29" si="15">(SUM(K21:O21)-SUM(P21:R21))</f>
        <v>29.599999999999998</v>
      </c>
      <c r="T21" s="22">
        <v>9.9</v>
      </c>
      <c r="U21" s="23">
        <v>10</v>
      </c>
      <c r="V21" s="23">
        <v>10</v>
      </c>
      <c r="W21" s="23">
        <v>9.9</v>
      </c>
      <c r="X21" s="23">
        <v>9.9</v>
      </c>
      <c r="Y21" s="24">
        <f t="shared" ref="Y21:Y29" si="16">MAX(T21:X21)</f>
        <v>10</v>
      </c>
      <c r="Z21" s="24">
        <f t="shared" ref="Z21:Z29" si="17">MIN(T21:X21)</f>
        <v>9.9</v>
      </c>
      <c r="AA21" s="25"/>
      <c r="AB21" s="26">
        <f t="shared" si="9"/>
        <v>29.799999999999997</v>
      </c>
    </row>
    <row r="22" spans="1:28" s="10" customFormat="1" ht="21" customHeight="1" x14ac:dyDescent="0.3">
      <c r="A22" s="21" t="s">
        <v>32</v>
      </c>
      <c r="B22" s="22">
        <v>9.8000000000000007</v>
      </c>
      <c r="C22" s="23">
        <v>9.9</v>
      </c>
      <c r="D22" s="23">
        <v>10</v>
      </c>
      <c r="E22" s="23">
        <v>9.8000000000000007</v>
      </c>
      <c r="F22" s="23">
        <v>9.8000000000000007</v>
      </c>
      <c r="G22" s="24">
        <f t="shared" si="10"/>
        <v>10</v>
      </c>
      <c r="H22" s="24">
        <f t="shared" si="11"/>
        <v>9.8000000000000007</v>
      </c>
      <c r="I22" s="25"/>
      <c r="J22" s="26">
        <f t="shared" si="12"/>
        <v>29.499999999999996</v>
      </c>
      <c r="K22" s="22">
        <v>10</v>
      </c>
      <c r="L22" s="23">
        <v>9.5</v>
      </c>
      <c r="M22" s="23">
        <v>9.9</v>
      </c>
      <c r="N22" s="23">
        <v>10</v>
      </c>
      <c r="O22" s="23">
        <v>9.6999999999999993</v>
      </c>
      <c r="P22" s="24">
        <f t="shared" si="13"/>
        <v>10</v>
      </c>
      <c r="Q22" s="24">
        <f t="shared" si="14"/>
        <v>9.5</v>
      </c>
      <c r="R22" s="25"/>
      <c r="S22" s="26">
        <f t="shared" si="15"/>
        <v>29.599999999999994</v>
      </c>
      <c r="T22" s="22">
        <v>10</v>
      </c>
      <c r="U22" s="23">
        <v>10</v>
      </c>
      <c r="V22" s="23">
        <v>10</v>
      </c>
      <c r="W22" s="23">
        <v>10</v>
      </c>
      <c r="X22" s="23">
        <v>9.9</v>
      </c>
      <c r="Y22" s="24">
        <f t="shared" si="16"/>
        <v>10</v>
      </c>
      <c r="Z22" s="24">
        <f t="shared" si="17"/>
        <v>9.9</v>
      </c>
      <c r="AA22" s="25"/>
      <c r="AB22" s="26">
        <f t="shared" si="9"/>
        <v>30</v>
      </c>
    </row>
    <row r="23" spans="1:28" s="10" customFormat="1" ht="21" customHeight="1" x14ac:dyDescent="0.3">
      <c r="A23" s="21" t="s">
        <v>62</v>
      </c>
      <c r="B23" s="22">
        <v>10</v>
      </c>
      <c r="C23" s="23">
        <v>10</v>
      </c>
      <c r="D23" s="23">
        <v>10</v>
      </c>
      <c r="E23" s="23">
        <v>9.9</v>
      </c>
      <c r="F23" s="23">
        <v>10</v>
      </c>
      <c r="G23" s="24">
        <f t="shared" si="10"/>
        <v>10</v>
      </c>
      <c r="H23" s="24">
        <f t="shared" si="11"/>
        <v>9.9</v>
      </c>
      <c r="I23" s="25"/>
      <c r="J23" s="26">
        <f t="shared" si="12"/>
        <v>30</v>
      </c>
      <c r="K23" s="22">
        <v>10</v>
      </c>
      <c r="L23" s="23">
        <v>10</v>
      </c>
      <c r="M23" s="23">
        <v>9.9</v>
      </c>
      <c r="N23" s="23">
        <v>10</v>
      </c>
      <c r="O23" s="23">
        <v>9.9</v>
      </c>
      <c r="P23" s="24">
        <f t="shared" si="13"/>
        <v>10</v>
      </c>
      <c r="Q23" s="24">
        <f t="shared" si="14"/>
        <v>9.9</v>
      </c>
      <c r="R23" s="25"/>
      <c r="S23" s="26">
        <f t="shared" si="15"/>
        <v>29.9</v>
      </c>
      <c r="T23" s="22">
        <v>10</v>
      </c>
      <c r="U23" s="23">
        <v>10</v>
      </c>
      <c r="V23" s="23">
        <v>10</v>
      </c>
      <c r="W23" s="23">
        <v>10</v>
      </c>
      <c r="X23" s="23">
        <v>10</v>
      </c>
      <c r="Y23" s="24">
        <f t="shared" si="16"/>
        <v>10</v>
      </c>
      <c r="Z23" s="24">
        <f t="shared" si="17"/>
        <v>10</v>
      </c>
      <c r="AA23" s="25"/>
      <c r="AB23" s="26">
        <f t="shared" si="9"/>
        <v>30</v>
      </c>
    </row>
    <row r="24" spans="1:28" s="10" customFormat="1" ht="21" customHeight="1" x14ac:dyDescent="0.3">
      <c r="A24" s="21" t="s">
        <v>48</v>
      </c>
      <c r="B24" s="22">
        <v>9.8000000000000007</v>
      </c>
      <c r="C24" s="23">
        <v>9.9</v>
      </c>
      <c r="D24" s="23">
        <v>9.6</v>
      </c>
      <c r="E24" s="23">
        <v>9.8000000000000007</v>
      </c>
      <c r="F24" s="23">
        <v>9.5</v>
      </c>
      <c r="G24" s="24">
        <f t="shared" si="10"/>
        <v>9.9</v>
      </c>
      <c r="H24" s="24">
        <f t="shared" si="11"/>
        <v>9.5</v>
      </c>
      <c r="I24" s="25"/>
      <c r="J24" s="26">
        <f t="shared" si="12"/>
        <v>29.20000000000001</v>
      </c>
      <c r="K24" s="22">
        <v>9.9</v>
      </c>
      <c r="L24" s="23">
        <v>9.6</v>
      </c>
      <c r="M24" s="23">
        <v>9.6999999999999993</v>
      </c>
      <c r="N24" s="23">
        <v>9.6999999999999993</v>
      </c>
      <c r="O24" s="23">
        <v>9.5</v>
      </c>
      <c r="P24" s="24">
        <f t="shared" si="13"/>
        <v>9.9</v>
      </c>
      <c r="Q24" s="24">
        <f t="shared" si="14"/>
        <v>9.5</v>
      </c>
      <c r="R24" s="25"/>
      <c r="S24" s="26">
        <f t="shared" si="15"/>
        <v>29</v>
      </c>
      <c r="T24" s="22">
        <v>10</v>
      </c>
      <c r="U24" s="23">
        <v>9.9</v>
      </c>
      <c r="V24" s="23">
        <v>9.6999999999999993</v>
      </c>
      <c r="W24" s="23">
        <v>10</v>
      </c>
      <c r="X24" s="23">
        <v>9.6999999999999993</v>
      </c>
      <c r="Y24" s="24">
        <f t="shared" si="16"/>
        <v>10</v>
      </c>
      <c r="Z24" s="24">
        <f t="shared" si="17"/>
        <v>9.6999999999999993</v>
      </c>
      <c r="AA24" s="25"/>
      <c r="AB24" s="26">
        <f t="shared" si="9"/>
        <v>29.599999999999998</v>
      </c>
    </row>
    <row r="25" spans="1:28" s="10" customFormat="1" ht="21" customHeight="1" x14ac:dyDescent="0.3">
      <c r="A25" s="21" t="s">
        <v>46</v>
      </c>
      <c r="B25" s="22">
        <v>9.9</v>
      </c>
      <c r="C25" s="23">
        <v>9.6999999999999993</v>
      </c>
      <c r="D25" s="23">
        <v>9.5</v>
      </c>
      <c r="E25" s="23">
        <v>9.8000000000000007</v>
      </c>
      <c r="F25" s="23">
        <v>9.6999999999999993</v>
      </c>
      <c r="G25" s="24">
        <f t="shared" si="10"/>
        <v>9.9</v>
      </c>
      <c r="H25" s="24">
        <f t="shared" si="11"/>
        <v>9.5</v>
      </c>
      <c r="I25" s="25"/>
      <c r="J25" s="26">
        <f t="shared" si="12"/>
        <v>29.20000000000001</v>
      </c>
      <c r="K25" s="22">
        <v>9.8000000000000007</v>
      </c>
      <c r="L25" s="23">
        <v>10</v>
      </c>
      <c r="M25" s="23">
        <v>9.6</v>
      </c>
      <c r="N25" s="23">
        <v>9.6999999999999993</v>
      </c>
      <c r="O25" s="23">
        <v>9.6999999999999993</v>
      </c>
      <c r="P25" s="24">
        <f t="shared" si="13"/>
        <v>10</v>
      </c>
      <c r="Q25" s="24">
        <f t="shared" si="14"/>
        <v>9.6</v>
      </c>
      <c r="R25" s="25"/>
      <c r="S25" s="26">
        <f t="shared" si="15"/>
        <v>29.199999999999996</v>
      </c>
      <c r="T25" s="22">
        <v>9.9</v>
      </c>
      <c r="U25" s="23">
        <v>10</v>
      </c>
      <c r="V25" s="23">
        <v>9.5</v>
      </c>
      <c r="W25" s="23">
        <v>10</v>
      </c>
      <c r="X25" s="23">
        <v>9.8000000000000007</v>
      </c>
      <c r="Y25" s="24">
        <f t="shared" si="16"/>
        <v>10</v>
      </c>
      <c r="Z25" s="24">
        <f t="shared" si="17"/>
        <v>9.5</v>
      </c>
      <c r="AA25" s="25"/>
      <c r="AB25" s="26">
        <f t="shared" si="9"/>
        <v>29.700000000000003</v>
      </c>
    </row>
    <row r="26" spans="1:28" s="10" customFormat="1" ht="21" customHeight="1" x14ac:dyDescent="0.3">
      <c r="A26" s="27" t="s">
        <v>33</v>
      </c>
      <c r="B26" s="22">
        <v>10</v>
      </c>
      <c r="C26" s="23">
        <v>10</v>
      </c>
      <c r="D26" s="23">
        <v>10</v>
      </c>
      <c r="E26" s="23">
        <v>10</v>
      </c>
      <c r="F26" s="23">
        <v>10</v>
      </c>
      <c r="G26" s="24">
        <f t="shared" si="10"/>
        <v>10</v>
      </c>
      <c r="H26" s="24">
        <f t="shared" si="11"/>
        <v>10</v>
      </c>
      <c r="I26" s="25"/>
      <c r="J26" s="26">
        <f t="shared" si="12"/>
        <v>30</v>
      </c>
      <c r="K26" s="22">
        <v>10</v>
      </c>
      <c r="L26" s="23">
        <v>10</v>
      </c>
      <c r="M26" s="23">
        <v>9.9</v>
      </c>
      <c r="N26" s="23">
        <v>10</v>
      </c>
      <c r="O26" s="23">
        <v>9.9</v>
      </c>
      <c r="P26" s="24">
        <f t="shared" si="13"/>
        <v>10</v>
      </c>
      <c r="Q26" s="24">
        <f t="shared" si="14"/>
        <v>9.9</v>
      </c>
      <c r="R26" s="25"/>
      <c r="S26" s="26">
        <f t="shared" si="15"/>
        <v>29.9</v>
      </c>
      <c r="T26" s="22">
        <v>10</v>
      </c>
      <c r="U26" s="23">
        <v>10</v>
      </c>
      <c r="V26" s="23">
        <v>10</v>
      </c>
      <c r="W26" s="23">
        <v>10</v>
      </c>
      <c r="X26" s="23">
        <v>9.9</v>
      </c>
      <c r="Y26" s="24">
        <f t="shared" si="16"/>
        <v>10</v>
      </c>
      <c r="Z26" s="24">
        <f t="shared" si="17"/>
        <v>9.9</v>
      </c>
      <c r="AA26" s="25"/>
      <c r="AB26" s="26">
        <f t="shared" si="9"/>
        <v>30</v>
      </c>
    </row>
    <row r="27" spans="1:28" s="10" customFormat="1" ht="21" customHeight="1" x14ac:dyDescent="0.3">
      <c r="A27" s="21" t="s">
        <v>43</v>
      </c>
      <c r="B27" s="22">
        <v>9.8000000000000007</v>
      </c>
      <c r="C27" s="23">
        <v>9.5</v>
      </c>
      <c r="D27" s="23">
        <v>9.6</v>
      </c>
      <c r="E27" s="23">
        <v>9.5</v>
      </c>
      <c r="F27" s="23">
        <v>9.4</v>
      </c>
      <c r="G27" s="24">
        <f t="shared" si="10"/>
        <v>9.8000000000000007</v>
      </c>
      <c r="H27" s="24">
        <f t="shared" si="11"/>
        <v>9.4</v>
      </c>
      <c r="I27" s="25"/>
      <c r="J27" s="26">
        <f t="shared" si="12"/>
        <v>28.599999999999994</v>
      </c>
      <c r="K27" s="22">
        <v>9.8000000000000007</v>
      </c>
      <c r="L27" s="23">
        <v>9.4</v>
      </c>
      <c r="M27" s="23">
        <v>9.5</v>
      </c>
      <c r="N27" s="23">
        <v>9.6</v>
      </c>
      <c r="O27" s="23">
        <v>9.5</v>
      </c>
      <c r="P27" s="24">
        <f t="shared" si="13"/>
        <v>9.8000000000000007</v>
      </c>
      <c r="Q27" s="24">
        <f t="shared" si="14"/>
        <v>9.4</v>
      </c>
      <c r="R27" s="25"/>
      <c r="S27" s="26">
        <f t="shared" si="15"/>
        <v>28.6</v>
      </c>
      <c r="T27" s="22">
        <v>10</v>
      </c>
      <c r="U27" s="23">
        <v>9.5</v>
      </c>
      <c r="V27" s="23">
        <v>9.6</v>
      </c>
      <c r="W27" s="23">
        <v>10</v>
      </c>
      <c r="X27" s="23">
        <v>9.8000000000000007</v>
      </c>
      <c r="Y27" s="24">
        <f t="shared" si="16"/>
        <v>10</v>
      </c>
      <c r="Z27" s="24">
        <f t="shared" si="17"/>
        <v>9.5</v>
      </c>
      <c r="AA27" s="25"/>
      <c r="AB27" s="26">
        <f t="shared" si="9"/>
        <v>29.400000000000006</v>
      </c>
    </row>
    <row r="28" spans="1:28" s="10" customFormat="1" ht="21" customHeight="1" x14ac:dyDescent="0.3">
      <c r="A28" s="21" t="s">
        <v>42</v>
      </c>
      <c r="B28" s="22">
        <v>10</v>
      </c>
      <c r="C28" s="23">
        <v>10</v>
      </c>
      <c r="D28" s="23">
        <v>9.8000000000000007</v>
      </c>
      <c r="E28" s="23">
        <v>10</v>
      </c>
      <c r="F28" s="23">
        <v>9.6999999999999993</v>
      </c>
      <c r="G28" s="24">
        <f t="shared" si="10"/>
        <v>10</v>
      </c>
      <c r="H28" s="24">
        <f t="shared" si="11"/>
        <v>9.6999999999999993</v>
      </c>
      <c r="I28" s="25"/>
      <c r="J28" s="26">
        <f t="shared" si="12"/>
        <v>29.8</v>
      </c>
      <c r="K28" s="22">
        <v>9.9</v>
      </c>
      <c r="L28" s="23">
        <v>9.6</v>
      </c>
      <c r="M28" s="23">
        <v>9.5</v>
      </c>
      <c r="N28" s="23">
        <v>9.8000000000000007</v>
      </c>
      <c r="O28" s="23">
        <v>9.6999999999999993</v>
      </c>
      <c r="P28" s="24">
        <f t="shared" si="13"/>
        <v>9.9</v>
      </c>
      <c r="Q28" s="24">
        <f t="shared" si="14"/>
        <v>9.5</v>
      </c>
      <c r="R28" s="25"/>
      <c r="S28" s="26">
        <f t="shared" si="15"/>
        <v>29.1</v>
      </c>
      <c r="T28" s="22">
        <v>10</v>
      </c>
      <c r="U28" s="23">
        <v>9.8000000000000007</v>
      </c>
      <c r="V28" s="23">
        <v>10</v>
      </c>
      <c r="W28" s="23">
        <v>10</v>
      </c>
      <c r="X28" s="23">
        <v>9.9</v>
      </c>
      <c r="Y28" s="24">
        <f t="shared" si="16"/>
        <v>10</v>
      </c>
      <c r="Z28" s="24">
        <f t="shared" si="17"/>
        <v>9.8000000000000007</v>
      </c>
      <c r="AA28" s="25"/>
      <c r="AB28" s="26">
        <f t="shared" si="9"/>
        <v>29.899999999999995</v>
      </c>
    </row>
    <row r="29" spans="1:28" s="10" customFormat="1" ht="21" customHeight="1" thickBot="1" x14ac:dyDescent="0.35">
      <c r="A29" s="40" t="s">
        <v>47</v>
      </c>
      <c r="B29" s="41">
        <v>10</v>
      </c>
      <c r="C29" s="42">
        <v>9.8000000000000007</v>
      </c>
      <c r="D29" s="42">
        <v>9.8000000000000007</v>
      </c>
      <c r="E29" s="42">
        <v>9.9</v>
      </c>
      <c r="F29" s="42">
        <v>9.9</v>
      </c>
      <c r="G29" s="43">
        <f t="shared" si="10"/>
        <v>10</v>
      </c>
      <c r="H29" s="43">
        <f t="shared" si="11"/>
        <v>9.8000000000000007</v>
      </c>
      <c r="I29" s="44"/>
      <c r="J29" s="45">
        <f t="shared" si="12"/>
        <v>29.599999999999998</v>
      </c>
      <c r="K29" s="41">
        <v>10</v>
      </c>
      <c r="L29" s="42">
        <v>10</v>
      </c>
      <c r="M29" s="42">
        <v>9.9</v>
      </c>
      <c r="N29" s="42">
        <v>10</v>
      </c>
      <c r="O29" s="42">
        <v>9.8000000000000007</v>
      </c>
      <c r="P29" s="43">
        <f t="shared" si="13"/>
        <v>10</v>
      </c>
      <c r="Q29" s="43">
        <f t="shared" si="14"/>
        <v>9.8000000000000007</v>
      </c>
      <c r="R29" s="44"/>
      <c r="S29" s="45">
        <f t="shared" si="15"/>
        <v>29.900000000000002</v>
      </c>
      <c r="T29" s="41">
        <v>9.9</v>
      </c>
      <c r="U29" s="42">
        <v>9.6999999999999993</v>
      </c>
      <c r="V29" s="42">
        <v>9.6</v>
      </c>
      <c r="W29" s="42">
        <v>9.4</v>
      </c>
      <c r="X29" s="42">
        <v>9.8000000000000007</v>
      </c>
      <c r="Y29" s="43">
        <f t="shared" si="16"/>
        <v>9.9</v>
      </c>
      <c r="Z29" s="43">
        <f t="shared" si="17"/>
        <v>9.4</v>
      </c>
      <c r="AA29" s="44"/>
      <c r="AB29" s="45">
        <f t="shared" si="9"/>
        <v>29.100000000000005</v>
      </c>
    </row>
    <row r="30" spans="1:28" s="10" customFormat="1" ht="15" thickBot="1" x14ac:dyDescent="0.35"/>
    <row r="31" spans="1:28" s="10" customFormat="1" ht="21" customHeight="1" x14ac:dyDescent="0.3">
      <c r="A31" s="181" t="s">
        <v>37</v>
      </c>
      <c r="B31" s="196" t="s">
        <v>12</v>
      </c>
      <c r="C31" s="197"/>
      <c r="D31" s="150" t="s">
        <v>29</v>
      </c>
      <c r="E31" s="146"/>
      <c r="F31" s="146"/>
      <c r="G31" s="147"/>
      <c r="H31" s="187" t="s">
        <v>10</v>
      </c>
      <c r="I31" s="188"/>
      <c r="J31" s="33"/>
      <c r="K31" s="154" t="s">
        <v>68</v>
      </c>
      <c r="L31" s="154"/>
      <c r="M31" s="154"/>
      <c r="N31" s="154"/>
      <c r="O31" s="154"/>
      <c r="P31" s="154"/>
      <c r="Q31" s="154"/>
      <c r="R31" s="154"/>
      <c r="T31" s="183" t="s">
        <v>56</v>
      </c>
      <c r="U31" s="184"/>
      <c r="V31" s="184"/>
      <c r="W31" s="204" t="s">
        <v>80</v>
      </c>
      <c r="X31" s="204"/>
      <c r="Y31" s="204"/>
      <c r="Z31" s="204"/>
      <c r="AA31" s="204"/>
      <c r="AB31" s="205"/>
    </row>
    <row r="32" spans="1:28" s="10" customFormat="1" ht="21" customHeight="1" thickBot="1" x14ac:dyDescent="0.35">
      <c r="A32" s="182"/>
      <c r="B32" s="198"/>
      <c r="C32" s="199"/>
      <c r="D32" s="134" t="s">
        <v>30</v>
      </c>
      <c r="E32" s="135"/>
      <c r="F32" s="135"/>
      <c r="G32" s="136"/>
      <c r="H32" s="132" t="s">
        <v>13</v>
      </c>
      <c r="I32" s="133"/>
      <c r="J32" s="33"/>
      <c r="K32" s="34"/>
      <c r="L32" s="131" t="s">
        <v>26</v>
      </c>
      <c r="M32" s="131"/>
      <c r="N32" s="131"/>
      <c r="O32" s="131"/>
      <c r="P32" s="131"/>
      <c r="Q32" s="129" t="s">
        <v>10</v>
      </c>
      <c r="R32" s="130"/>
      <c r="T32" s="185" t="s">
        <v>57</v>
      </c>
      <c r="U32" s="186"/>
      <c r="V32" s="186"/>
      <c r="W32" s="206" t="s">
        <v>81</v>
      </c>
      <c r="X32" s="206"/>
      <c r="Y32" s="206"/>
      <c r="Z32" s="206"/>
      <c r="AA32" s="206"/>
      <c r="AB32" s="207"/>
    </row>
    <row r="33" spans="1:28" s="10" customFormat="1" ht="21" customHeight="1" x14ac:dyDescent="0.3">
      <c r="A33" s="17" t="s">
        <v>28</v>
      </c>
      <c r="B33" s="189">
        <v>0</v>
      </c>
      <c r="C33" s="190"/>
      <c r="D33" s="193"/>
      <c r="E33" s="194"/>
      <c r="F33" s="194"/>
      <c r="G33" s="195"/>
      <c r="H33" s="127">
        <f>SUM(J7,S7,AB7,J20,S20,AB20,-B33)</f>
        <v>176.2</v>
      </c>
      <c r="I33" s="128"/>
      <c r="J33" s="33"/>
      <c r="K33" s="89">
        <v>1</v>
      </c>
      <c r="L33" s="90" t="s">
        <v>33</v>
      </c>
      <c r="M33" s="90"/>
      <c r="N33" s="90"/>
      <c r="O33" s="90"/>
      <c r="P33" s="91"/>
      <c r="Q33" s="216">
        <v>179.6</v>
      </c>
      <c r="R33" s="217"/>
      <c r="T33" s="185" t="s">
        <v>58</v>
      </c>
      <c r="U33" s="186"/>
      <c r="V33" s="186"/>
      <c r="W33" s="206" t="s">
        <v>82</v>
      </c>
      <c r="X33" s="206"/>
      <c r="Y33" s="206"/>
      <c r="Z33" s="206"/>
      <c r="AA33" s="206"/>
      <c r="AB33" s="207"/>
    </row>
    <row r="34" spans="1:28" s="10" customFormat="1" ht="21" customHeight="1" x14ac:dyDescent="0.3">
      <c r="A34" s="21" t="s">
        <v>45</v>
      </c>
      <c r="B34" s="116">
        <v>0</v>
      </c>
      <c r="C34" s="117"/>
      <c r="D34" s="111"/>
      <c r="E34" s="112"/>
      <c r="F34" s="112"/>
      <c r="G34" s="113"/>
      <c r="H34" s="118">
        <f>SUM(J8,S8,AB8,J21,S21,AB21)-B34</f>
        <v>177.59999999999997</v>
      </c>
      <c r="I34" s="119"/>
      <c r="J34" s="33"/>
      <c r="K34" s="61">
        <v>2</v>
      </c>
      <c r="L34" s="67" t="s">
        <v>62</v>
      </c>
      <c r="M34" s="67"/>
      <c r="N34" s="67"/>
      <c r="O34" s="67"/>
      <c r="P34" s="68"/>
      <c r="Q34" s="125">
        <v>179.5</v>
      </c>
      <c r="R34" s="126"/>
      <c r="T34" s="185" t="s">
        <v>59</v>
      </c>
      <c r="U34" s="186"/>
      <c r="V34" s="186"/>
      <c r="W34" s="206" t="s">
        <v>83</v>
      </c>
      <c r="X34" s="206"/>
      <c r="Y34" s="206"/>
      <c r="Z34" s="206"/>
      <c r="AA34" s="206"/>
      <c r="AB34" s="207"/>
    </row>
    <row r="35" spans="1:28" s="10" customFormat="1" ht="21" customHeight="1" thickBot="1" x14ac:dyDescent="0.35">
      <c r="A35" s="21" t="s">
        <v>32</v>
      </c>
      <c r="B35" s="116">
        <v>0</v>
      </c>
      <c r="C35" s="117"/>
      <c r="D35" s="111"/>
      <c r="E35" s="112"/>
      <c r="F35" s="112"/>
      <c r="G35" s="113"/>
      <c r="H35" s="118">
        <f t="shared" ref="H35:H42" si="18">SUM(J9,S9,AB9,J22,S22,AB22)-B35</f>
        <v>177.39999999999998</v>
      </c>
      <c r="I35" s="119"/>
      <c r="J35" s="33"/>
      <c r="K35" s="61">
        <v>3</v>
      </c>
      <c r="L35" s="67" t="s">
        <v>45</v>
      </c>
      <c r="M35" s="63"/>
      <c r="N35" s="63"/>
      <c r="O35" s="63"/>
      <c r="P35" s="64"/>
      <c r="Q35" s="125">
        <v>177.6</v>
      </c>
      <c r="R35" s="126"/>
      <c r="T35" s="202" t="s">
        <v>60</v>
      </c>
      <c r="U35" s="203"/>
      <c r="V35" s="203"/>
      <c r="W35" s="208" t="s">
        <v>84</v>
      </c>
      <c r="X35" s="208"/>
      <c r="Y35" s="208"/>
      <c r="Z35" s="208"/>
      <c r="AA35" s="208"/>
      <c r="AB35" s="209"/>
    </row>
    <row r="36" spans="1:28" s="10" customFormat="1" ht="21" customHeight="1" x14ac:dyDescent="0.3">
      <c r="A36" s="21" t="s">
        <v>62</v>
      </c>
      <c r="B36" s="116">
        <v>0</v>
      </c>
      <c r="C36" s="117"/>
      <c r="D36" s="111"/>
      <c r="E36" s="112"/>
      <c r="F36" s="112"/>
      <c r="G36" s="113"/>
      <c r="H36" s="118">
        <f t="shared" si="18"/>
        <v>179.5</v>
      </c>
      <c r="I36" s="119"/>
      <c r="J36" s="33"/>
      <c r="K36" s="61">
        <v>4</v>
      </c>
      <c r="L36" s="67" t="s">
        <v>32</v>
      </c>
      <c r="M36" s="65"/>
      <c r="N36" s="65"/>
      <c r="O36" s="65"/>
      <c r="P36" s="66"/>
      <c r="Q36" s="125">
        <v>177.4</v>
      </c>
      <c r="R36" s="126"/>
    </row>
    <row r="37" spans="1:28" s="10" customFormat="1" ht="21" customHeight="1" x14ac:dyDescent="0.3">
      <c r="A37" s="21" t="s">
        <v>48</v>
      </c>
      <c r="B37" s="116">
        <v>0</v>
      </c>
      <c r="C37" s="117"/>
      <c r="D37" s="111"/>
      <c r="E37" s="112"/>
      <c r="F37" s="112"/>
      <c r="G37" s="113"/>
      <c r="H37" s="118">
        <f t="shared" si="18"/>
        <v>174.60000000000002</v>
      </c>
      <c r="I37" s="119"/>
      <c r="J37" s="33"/>
      <c r="K37" s="61">
        <v>5</v>
      </c>
      <c r="L37" s="67" t="s">
        <v>42</v>
      </c>
      <c r="M37" s="65"/>
      <c r="N37" s="65"/>
      <c r="O37" s="65"/>
      <c r="P37" s="66"/>
      <c r="Q37" s="125">
        <v>177.2</v>
      </c>
      <c r="R37" s="126"/>
    </row>
    <row r="38" spans="1:28" s="10" customFormat="1" ht="21" customHeight="1" x14ac:dyDescent="0.3">
      <c r="A38" s="21" t="s">
        <v>46</v>
      </c>
      <c r="B38" s="116">
        <v>0.2</v>
      </c>
      <c r="C38" s="117"/>
      <c r="D38" s="111" t="s">
        <v>85</v>
      </c>
      <c r="E38" s="112"/>
      <c r="F38" s="112"/>
      <c r="G38" s="113"/>
      <c r="H38" s="118">
        <f t="shared" si="18"/>
        <v>174.7</v>
      </c>
      <c r="I38" s="119"/>
      <c r="J38" s="33"/>
      <c r="K38" s="34">
        <v>6</v>
      </c>
      <c r="L38" s="35" t="s">
        <v>47</v>
      </c>
      <c r="M38" s="46"/>
      <c r="N38" s="46"/>
      <c r="O38" s="46"/>
      <c r="P38" s="47"/>
      <c r="Q38" s="49">
        <v>176.5</v>
      </c>
      <c r="R38" s="38"/>
      <c r="S38" s="88"/>
      <c r="T38" s="69"/>
      <c r="U38" s="69"/>
      <c r="V38" s="69"/>
      <c r="W38" s="69"/>
      <c r="X38" s="69"/>
      <c r="Y38" s="69"/>
    </row>
    <row r="39" spans="1:28" s="10" customFormat="1" ht="21" customHeight="1" x14ac:dyDescent="0.3">
      <c r="A39" s="27" t="s">
        <v>33</v>
      </c>
      <c r="B39" s="116">
        <v>0</v>
      </c>
      <c r="C39" s="117"/>
      <c r="D39" s="111"/>
      <c r="E39" s="112"/>
      <c r="F39" s="112"/>
      <c r="G39" s="113"/>
      <c r="H39" s="118">
        <f t="shared" si="18"/>
        <v>179.6</v>
      </c>
      <c r="I39" s="119"/>
      <c r="J39" s="33"/>
      <c r="K39" s="34">
        <v>7</v>
      </c>
      <c r="L39" s="35" t="s">
        <v>28</v>
      </c>
      <c r="M39" s="84"/>
      <c r="N39" s="84"/>
      <c r="O39" s="84"/>
      <c r="P39" s="85"/>
      <c r="Q39" s="39">
        <v>176.2</v>
      </c>
      <c r="R39" s="3"/>
    </row>
    <row r="40" spans="1:28" s="10" customFormat="1" ht="21" customHeight="1" x14ac:dyDescent="0.3">
      <c r="A40" s="21" t="s">
        <v>43</v>
      </c>
      <c r="B40" s="116">
        <v>0</v>
      </c>
      <c r="C40" s="117"/>
      <c r="D40" s="111"/>
      <c r="E40" s="112"/>
      <c r="F40" s="112"/>
      <c r="G40" s="113"/>
      <c r="H40" s="118">
        <f t="shared" si="18"/>
        <v>172.89999999999998</v>
      </c>
      <c r="I40" s="119"/>
      <c r="J40" s="33"/>
      <c r="K40" s="34">
        <v>8</v>
      </c>
      <c r="L40" s="35" t="s">
        <v>46</v>
      </c>
      <c r="M40" s="48"/>
      <c r="N40" s="48"/>
      <c r="O40" s="48"/>
      <c r="P40" s="37"/>
      <c r="Q40" s="39">
        <v>174.7</v>
      </c>
      <c r="R40" s="3"/>
    </row>
    <row r="41" spans="1:28" s="10" customFormat="1" ht="21" customHeight="1" x14ac:dyDescent="0.3">
      <c r="A41" s="21" t="s">
        <v>42</v>
      </c>
      <c r="B41" s="116">
        <v>0</v>
      </c>
      <c r="C41" s="117"/>
      <c r="D41" s="111"/>
      <c r="E41" s="112"/>
      <c r="F41" s="112"/>
      <c r="G41" s="113"/>
      <c r="H41" s="118">
        <f t="shared" si="18"/>
        <v>177.20000000000002</v>
      </c>
      <c r="I41" s="119"/>
      <c r="J41" s="33"/>
      <c r="K41" s="34">
        <v>9</v>
      </c>
      <c r="L41" s="35" t="s">
        <v>48</v>
      </c>
      <c r="M41" s="86"/>
      <c r="N41" s="86"/>
      <c r="O41" s="86"/>
      <c r="P41" s="87"/>
      <c r="Q41" s="52">
        <v>174.6</v>
      </c>
      <c r="R41" s="4"/>
    </row>
    <row r="42" spans="1:28" s="10" customFormat="1" ht="21" customHeight="1" thickBot="1" x14ac:dyDescent="0.35">
      <c r="A42" s="40" t="s">
        <v>47</v>
      </c>
      <c r="B42" s="120">
        <v>0</v>
      </c>
      <c r="C42" s="121"/>
      <c r="D42" s="122"/>
      <c r="E42" s="123"/>
      <c r="F42" s="123"/>
      <c r="G42" s="124"/>
      <c r="H42" s="114">
        <f t="shared" si="18"/>
        <v>176.5</v>
      </c>
      <c r="I42" s="115"/>
      <c r="J42" s="33"/>
      <c r="K42" s="34">
        <v>10</v>
      </c>
      <c r="L42" s="35" t="s">
        <v>43</v>
      </c>
      <c r="M42" s="50"/>
      <c r="N42" s="50"/>
      <c r="O42" s="50"/>
      <c r="P42" s="51"/>
      <c r="Q42" s="39">
        <v>172.9</v>
      </c>
      <c r="R42" s="3"/>
    </row>
    <row r="43" spans="1:28" s="10" customFormat="1" ht="21" customHeight="1" thickBot="1" x14ac:dyDescent="0.35"/>
    <row r="44" spans="1:28" s="10" customFormat="1" ht="21" customHeight="1" x14ac:dyDescent="0.3">
      <c r="L44" s="164" t="s">
        <v>14</v>
      </c>
      <c r="M44" s="165"/>
      <c r="N44" s="166"/>
      <c r="O44" s="167" t="s">
        <v>33</v>
      </c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  <c r="AA44" s="168"/>
      <c r="AB44" s="169"/>
    </row>
    <row r="45" spans="1:28" s="10" customFormat="1" ht="21" customHeight="1" x14ac:dyDescent="0.3">
      <c r="L45" s="161" t="s">
        <v>15</v>
      </c>
      <c r="M45" s="162"/>
      <c r="N45" s="163"/>
      <c r="O45" s="170" t="s">
        <v>62</v>
      </c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2"/>
    </row>
    <row r="46" spans="1:28" s="10" customFormat="1" ht="21" customHeight="1" x14ac:dyDescent="0.3">
      <c r="L46" s="179" t="s">
        <v>16</v>
      </c>
      <c r="M46" s="154"/>
      <c r="N46" s="180"/>
      <c r="O46" s="173" t="s">
        <v>45</v>
      </c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  <c r="AA46" s="174"/>
      <c r="AB46" s="175"/>
    </row>
    <row r="47" spans="1:28" s="10" customFormat="1" ht="21" customHeight="1" x14ac:dyDescent="0.3">
      <c r="L47" s="161" t="s">
        <v>17</v>
      </c>
      <c r="M47" s="162"/>
      <c r="N47" s="163"/>
      <c r="O47" s="170" t="s">
        <v>32</v>
      </c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2"/>
    </row>
    <row r="48" spans="1:28" s="10" customFormat="1" ht="21" customHeight="1" x14ac:dyDescent="0.3">
      <c r="L48" s="179" t="s">
        <v>18</v>
      </c>
      <c r="M48" s="154"/>
      <c r="N48" s="180"/>
      <c r="O48" s="173" t="s">
        <v>42</v>
      </c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  <c r="AA48" s="174"/>
      <c r="AB48" s="175"/>
    </row>
    <row r="49" spans="12:28" s="10" customFormat="1" ht="21" customHeight="1" x14ac:dyDescent="0.3">
      <c r="L49" s="161" t="s">
        <v>19</v>
      </c>
      <c r="M49" s="162"/>
      <c r="N49" s="163"/>
      <c r="O49" s="155" t="s">
        <v>87</v>
      </c>
      <c r="P49" s="156"/>
      <c r="Q49" s="156"/>
      <c r="R49" s="156"/>
      <c r="S49" s="156"/>
      <c r="T49" s="156"/>
      <c r="U49" s="156"/>
      <c r="V49" s="156"/>
      <c r="W49" s="156"/>
      <c r="X49" s="156"/>
      <c r="Y49" s="156"/>
      <c r="Z49" s="156"/>
      <c r="AA49" s="156"/>
      <c r="AB49" s="157"/>
    </row>
    <row r="50" spans="12:28" s="10" customFormat="1" ht="31.8" customHeight="1" thickBot="1" x14ac:dyDescent="0.35">
      <c r="L50" s="176" t="s">
        <v>20</v>
      </c>
      <c r="M50" s="177"/>
      <c r="N50" s="178"/>
      <c r="O50" s="158" t="s">
        <v>86</v>
      </c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  <c r="AA50" s="159"/>
      <c r="AB50" s="160"/>
    </row>
  </sheetData>
  <sortState xmlns:xlrd2="http://schemas.microsoft.com/office/spreadsheetml/2017/richdata2" ref="L33:Q42">
    <sortCondition descending="1" ref="Q33:Q42"/>
  </sortState>
  <mergeCells count="79">
    <mergeCell ref="L49:N49"/>
    <mergeCell ref="O49:AB49"/>
    <mergeCell ref="L50:N50"/>
    <mergeCell ref="O50:AB50"/>
    <mergeCell ref="L46:N46"/>
    <mergeCell ref="O46:AB46"/>
    <mergeCell ref="L47:N47"/>
    <mergeCell ref="O47:AB47"/>
    <mergeCell ref="L48:N48"/>
    <mergeCell ref="O48:AB48"/>
    <mergeCell ref="L45:N45"/>
    <mergeCell ref="O45:AB45"/>
    <mergeCell ref="B40:C40"/>
    <mergeCell ref="D40:G40"/>
    <mergeCell ref="H40:I40"/>
    <mergeCell ref="B41:C41"/>
    <mergeCell ref="D41:G41"/>
    <mergeCell ref="H41:I41"/>
    <mergeCell ref="B42:C42"/>
    <mergeCell ref="D42:G42"/>
    <mergeCell ref="H42:I42"/>
    <mergeCell ref="L44:N44"/>
    <mergeCell ref="O44:AB44"/>
    <mergeCell ref="B38:C38"/>
    <mergeCell ref="D38:G38"/>
    <mergeCell ref="H38:I38"/>
    <mergeCell ref="B39:C39"/>
    <mergeCell ref="D39:G39"/>
    <mergeCell ref="H39:I39"/>
    <mergeCell ref="B36:C36"/>
    <mergeCell ref="D36:G36"/>
    <mergeCell ref="H36:I36"/>
    <mergeCell ref="Q36:R36"/>
    <mergeCell ref="B37:C37"/>
    <mergeCell ref="D37:G37"/>
    <mergeCell ref="H37:I37"/>
    <mergeCell ref="Q37:R37"/>
    <mergeCell ref="W35:AB35"/>
    <mergeCell ref="B34:C34"/>
    <mergeCell ref="D34:G34"/>
    <mergeCell ref="H34:I34"/>
    <mergeCell ref="Q34:R34"/>
    <mergeCell ref="T34:V34"/>
    <mergeCell ref="W34:AB34"/>
    <mergeCell ref="B35:C35"/>
    <mergeCell ref="D35:G35"/>
    <mergeCell ref="H35:I35"/>
    <mergeCell ref="Q35:R35"/>
    <mergeCell ref="T35:V35"/>
    <mergeCell ref="B33:C33"/>
    <mergeCell ref="D33:G33"/>
    <mergeCell ref="H33:I33"/>
    <mergeCell ref="Q33:R33"/>
    <mergeCell ref="T33:V33"/>
    <mergeCell ref="W33:AB33"/>
    <mergeCell ref="W31:AB31"/>
    <mergeCell ref="D32:G32"/>
    <mergeCell ref="H32:I32"/>
    <mergeCell ref="L32:P32"/>
    <mergeCell ref="Q32:R32"/>
    <mergeCell ref="T32:V32"/>
    <mergeCell ref="W32:AB32"/>
    <mergeCell ref="A18:A19"/>
    <mergeCell ref="B18:J18"/>
    <mergeCell ref="K18:S18"/>
    <mergeCell ref="T18:AB18"/>
    <mergeCell ref="A31:A32"/>
    <mergeCell ref="B31:C32"/>
    <mergeCell ref="D31:G31"/>
    <mergeCell ref="H31:I31"/>
    <mergeCell ref="K31:R31"/>
    <mergeCell ref="T31:V31"/>
    <mergeCell ref="A1:AB1"/>
    <mergeCell ref="A2:AB2"/>
    <mergeCell ref="A3:AB3"/>
    <mergeCell ref="A5:A6"/>
    <mergeCell ref="B5:J5"/>
    <mergeCell ref="K5:S5"/>
    <mergeCell ref="T5:AB5"/>
  </mergeCells>
  <pageMargins left="0.23622047244094491" right="0.23622047244094491" top="0.23622047244094491" bottom="0.23622047244094491" header="0.31496062992125984" footer="0.31496062992125984"/>
  <pageSetup paperSize="9" orientation="landscape" horizontalDpi="4294967294" r:id="rId1"/>
  <headerFooter>
    <oddHeader>&amp;C
&amp;G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5D82A-317D-4AD2-BBBF-2F512365E834}">
  <dimension ref="A2:F13"/>
  <sheetViews>
    <sheetView tabSelected="1" zoomScale="80" zoomScaleNormal="80" workbookViewId="0">
      <selection activeCell="E23" sqref="E23"/>
    </sheetView>
  </sheetViews>
  <sheetFormatPr defaultRowHeight="17.399999999999999" customHeight="1" x14ac:dyDescent="0.35"/>
  <cols>
    <col min="1" max="1" width="3.6640625" style="7" bestFit="1" customWidth="1"/>
    <col min="2" max="2" width="31.109375" style="7" bestFit="1" customWidth="1"/>
    <col min="3" max="5" width="12.44140625" style="7" customWidth="1"/>
    <col min="6" max="6" width="13" style="7" customWidth="1"/>
    <col min="7" max="8" width="8.88671875" style="7"/>
    <col min="9" max="9" width="31.109375" style="7" bestFit="1" customWidth="1"/>
    <col min="10" max="10" width="7.109375" style="7" bestFit="1" customWidth="1"/>
    <col min="11" max="11" width="9.44140625" style="7" customWidth="1"/>
    <col min="12" max="12" width="7.109375" style="7" bestFit="1" customWidth="1"/>
    <col min="13" max="16384" width="8.88671875" style="7"/>
  </cols>
  <sheetData>
    <row r="2" spans="1:6" ht="132" customHeight="1" x14ac:dyDescent="0.35">
      <c r="A2" s="218" t="s">
        <v>38</v>
      </c>
      <c r="B2" s="218"/>
      <c r="C2" s="218"/>
      <c r="D2" s="218"/>
      <c r="E2" s="218"/>
      <c r="F2" s="218"/>
    </row>
    <row r="3" spans="1:6" ht="27" customHeight="1" x14ac:dyDescent="0.35">
      <c r="A3" s="9" t="s">
        <v>11</v>
      </c>
      <c r="B3" s="9" t="s">
        <v>37</v>
      </c>
      <c r="C3" s="9" t="s">
        <v>34</v>
      </c>
      <c r="D3" s="9" t="s">
        <v>35</v>
      </c>
      <c r="E3" s="9" t="s">
        <v>36</v>
      </c>
      <c r="F3" s="9" t="s">
        <v>10</v>
      </c>
    </row>
    <row r="4" spans="1:6" s="8" customFormat="1" ht="27" customHeight="1" x14ac:dyDescent="0.3">
      <c r="A4" s="100">
        <v>1</v>
      </c>
      <c r="B4" s="101" t="s">
        <v>62</v>
      </c>
      <c r="C4" s="102">
        <v>179.3</v>
      </c>
      <c r="D4" s="103">
        <v>178.8</v>
      </c>
      <c r="E4" s="103">
        <v>179.5</v>
      </c>
      <c r="F4" s="104">
        <f t="shared" ref="F4:F13" si="0">SUM(C4:E4)</f>
        <v>537.6</v>
      </c>
    </row>
    <row r="5" spans="1:6" s="8" customFormat="1" ht="27" customHeight="1" x14ac:dyDescent="0.3">
      <c r="A5" s="105">
        <v>2</v>
      </c>
      <c r="B5" s="106" t="s">
        <v>45</v>
      </c>
      <c r="C5" s="107">
        <v>178.5</v>
      </c>
      <c r="D5" s="108">
        <v>179.5</v>
      </c>
      <c r="E5" s="109">
        <v>177.6</v>
      </c>
      <c r="F5" s="110">
        <f t="shared" si="0"/>
        <v>535.6</v>
      </c>
    </row>
    <row r="6" spans="1:6" s="8" customFormat="1" ht="27" customHeight="1" x14ac:dyDescent="0.3">
      <c r="A6" s="105">
        <v>3</v>
      </c>
      <c r="B6" s="106" t="s">
        <v>33</v>
      </c>
      <c r="C6" s="107">
        <v>178.1</v>
      </c>
      <c r="D6" s="109">
        <v>177.7</v>
      </c>
      <c r="E6" s="109">
        <v>179.6</v>
      </c>
      <c r="F6" s="110">
        <f t="shared" si="0"/>
        <v>535.4</v>
      </c>
    </row>
    <row r="7" spans="1:6" s="8" customFormat="1" ht="27" customHeight="1" x14ac:dyDescent="0.3">
      <c r="A7" s="53">
        <v>4</v>
      </c>
      <c r="B7" s="95" t="s">
        <v>47</v>
      </c>
      <c r="C7" s="93">
        <v>178.6</v>
      </c>
      <c r="D7" s="94">
        <v>178.7</v>
      </c>
      <c r="E7" s="97">
        <v>176.5</v>
      </c>
      <c r="F7" s="99">
        <f t="shared" si="0"/>
        <v>533.79999999999995</v>
      </c>
    </row>
    <row r="8" spans="1:6" s="8" customFormat="1" ht="27" customHeight="1" x14ac:dyDescent="0.3">
      <c r="A8" s="53">
        <v>5</v>
      </c>
      <c r="B8" s="92" t="s">
        <v>32</v>
      </c>
      <c r="C8" s="93">
        <v>177.1</v>
      </c>
      <c r="D8" s="94">
        <v>177.4</v>
      </c>
      <c r="E8" s="94">
        <v>177.4</v>
      </c>
      <c r="F8" s="99">
        <f t="shared" si="0"/>
        <v>531.9</v>
      </c>
    </row>
    <row r="9" spans="1:6" s="8" customFormat="1" ht="27" customHeight="1" x14ac:dyDescent="0.3">
      <c r="A9" s="53">
        <v>6</v>
      </c>
      <c r="B9" s="95" t="s">
        <v>42</v>
      </c>
      <c r="C9" s="93">
        <v>176.2</v>
      </c>
      <c r="D9" s="94">
        <v>178.4</v>
      </c>
      <c r="E9" s="94">
        <v>177.2</v>
      </c>
      <c r="F9" s="99">
        <f t="shared" si="0"/>
        <v>531.79999999999995</v>
      </c>
    </row>
    <row r="10" spans="1:6" s="8" customFormat="1" ht="27" customHeight="1" x14ac:dyDescent="0.3">
      <c r="A10" s="53">
        <v>7</v>
      </c>
      <c r="B10" s="92" t="s">
        <v>28</v>
      </c>
      <c r="C10" s="93">
        <v>176.9</v>
      </c>
      <c r="D10" s="94">
        <v>177.9</v>
      </c>
      <c r="E10" s="94">
        <v>176.2</v>
      </c>
      <c r="F10" s="99">
        <f t="shared" si="0"/>
        <v>531</v>
      </c>
    </row>
    <row r="11" spans="1:6" s="8" customFormat="1" ht="27" customHeight="1" x14ac:dyDescent="0.3">
      <c r="A11" s="53">
        <v>8</v>
      </c>
      <c r="B11" s="92" t="s">
        <v>48</v>
      </c>
      <c r="C11" s="93">
        <v>176.9</v>
      </c>
      <c r="D11" s="94">
        <v>177.4</v>
      </c>
      <c r="E11" s="94">
        <v>174.6</v>
      </c>
      <c r="F11" s="99">
        <f t="shared" si="0"/>
        <v>528.9</v>
      </c>
    </row>
    <row r="12" spans="1:6" s="8" customFormat="1" ht="27" customHeight="1" x14ac:dyDescent="0.3">
      <c r="A12" s="53">
        <v>9</v>
      </c>
      <c r="B12" s="92" t="s">
        <v>46</v>
      </c>
      <c r="C12" s="98">
        <v>175.4</v>
      </c>
      <c r="D12" s="94">
        <v>176.6</v>
      </c>
      <c r="E12" s="94">
        <v>174.7</v>
      </c>
      <c r="F12" s="99">
        <f t="shared" si="0"/>
        <v>526.70000000000005</v>
      </c>
    </row>
    <row r="13" spans="1:6" s="8" customFormat="1" ht="27" customHeight="1" x14ac:dyDescent="0.3">
      <c r="A13" s="53">
        <v>10</v>
      </c>
      <c r="B13" s="95" t="s">
        <v>43</v>
      </c>
      <c r="C13" s="96">
        <v>172.5</v>
      </c>
      <c r="D13" s="94" t="s">
        <v>76</v>
      </c>
      <c r="E13" s="94">
        <v>172.9</v>
      </c>
      <c r="F13" s="99">
        <f t="shared" si="0"/>
        <v>345.4</v>
      </c>
    </row>
  </sheetData>
  <sortState xmlns:xlrd2="http://schemas.microsoft.com/office/spreadsheetml/2017/richdata2" ref="B4:F13">
    <sortCondition descending="1" ref="F3:F13"/>
  </sortState>
  <mergeCells count="1">
    <mergeCell ref="A2:F2"/>
  </mergeCells>
  <pageMargins left="0.7416666666666667" right="0.511811024" top="0.78740157499999996" bottom="0.78740157499999996" header="0.31496062000000002" footer="0.31496062000000002"/>
  <pageSetup paperSize="9" orientation="portrait" horizontalDpi="4294967293" r:id="rId1"/>
  <headerFooter>
    <oddHeader>&amp;C&amp;G</oddHeader>
    <oddFooter>&amp;C&amp;G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CCD5D-E58D-4188-BBB3-840B73316BB8}">
  <dimension ref="A1:F11"/>
  <sheetViews>
    <sheetView workbookViewId="0">
      <selection activeCell="H1" sqref="H1:H1048576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0" t="s">
        <v>45</v>
      </c>
      <c r="C2" s="221">
        <v>29.500000000000004</v>
      </c>
      <c r="D2" s="221">
        <v>29.899999999999995</v>
      </c>
      <c r="E2" s="221">
        <v>29.299999999999997</v>
      </c>
      <c r="F2" s="221">
        <f>SUM(C2:E2)</f>
        <v>88.699999999999989</v>
      </c>
    </row>
    <row r="3" spans="1:6" ht="17.399999999999999" customHeight="1" x14ac:dyDescent="0.3">
      <c r="A3" s="219">
        <v>2</v>
      </c>
      <c r="B3" s="220" t="s">
        <v>62</v>
      </c>
      <c r="C3" s="221">
        <v>29.499999999999993</v>
      </c>
      <c r="D3" s="221">
        <v>29.599999999999994</v>
      </c>
      <c r="E3" s="221">
        <v>29.599999999999998</v>
      </c>
      <c r="F3" s="221">
        <f>SUM(C3:E3)</f>
        <v>88.699999999999989</v>
      </c>
    </row>
    <row r="4" spans="1:6" ht="17.399999999999999" customHeight="1" x14ac:dyDescent="0.3">
      <c r="A4" s="54">
        <v>3</v>
      </c>
      <c r="B4" s="56" t="s">
        <v>33</v>
      </c>
      <c r="C4" s="5">
        <v>29.299999999999997</v>
      </c>
      <c r="D4" s="5">
        <v>29.200000000000003</v>
      </c>
      <c r="E4" s="5">
        <v>29.799999999999994</v>
      </c>
      <c r="F4" s="5">
        <f>SUM(C4:E4)</f>
        <v>88.3</v>
      </c>
    </row>
    <row r="5" spans="1:6" ht="17.399999999999999" customHeight="1" x14ac:dyDescent="0.3">
      <c r="A5" s="54">
        <v>4</v>
      </c>
      <c r="B5" s="55" t="s">
        <v>47</v>
      </c>
      <c r="C5" s="5">
        <v>29.299999999999997</v>
      </c>
      <c r="D5" s="5">
        <v>29.8</v>
      </c>
      <c r="E5" s="5">
        <v>28.900000000000006</v>
      </c>
      <c r="F5" s="5">
        <f>SUM(C5:E5)</f>
        <v>88</v>
      </c>
    </row>
    <row r="6" spans="1:6" ht="17.399999999999999" customHeight="1" x14ac:dyDescent="0.3">
      <c r="A6" s="54">
        <v>5</v>
      </c>
      <c r="B6" s="55" t="s">
        <v>42</v>
      </c>
      <c r="C6" s="5">
        <v>29</v>
      </c>
      <c r="D6" s="5">
        <v>29.600000000000005</v>
      </c>
      <c r="E6" s="5">
        <v>29.300000000000004</v>
      </c>
      <c r="F6" s="5">
        <f>SUM(C6:E6)</f>
        <v>87.9</v>
      </c>
    </row>
    <row r="7" spans="1:6" ht="17.399999999999999" customHeight="1" x14ac:dyDescent="0.3">
      <c r="A7" s="54">
        <v>6</v>
      </c>
      <c r="B7" s="56" t="s">
        <v>28</v>
      </c>
      <c r="C7" s="5">
        <v>29</v>
      </c>
      <c r="D7" s="5">
        <v>29.700000000000003</v>
      </c>
      <c r="E7" s="5">
        <v>29.1</v>
      </c>
      <c r="F7" s="5">
        <f>SUM(C7:E7)</f>
        <v>87.800000000000011</v>
      </c>
    </row>
    <row r="8" spans="1:6" ht="17.399999999999999" customHeight="1" x14ac:dyDescent="0.3">
      <c r="A8" s="54">
        <v>7</v>
      </c>
      <c r="B8" s="56" t="s">
        <v>32</v>
      </c>
      <c r="C8" s="5">
        <v>28.9</v>
      </c>
      <c r="D8" s="5">
        <v>29.3</v>
      </c>
      <c r="E8" s="5">
        <v>29.099999999999994</v>
      </c>
      <c r="F8" s="5">
        <f>SUM(C8:E8)</f>
        <v>87.3</v>
      </c>
    </row>
    <row r="9" spans="1:6" ht="17.399999999999999" customHeight="1" x14ac:dyDescent="0.3">
      <c r="A9" s="54">
        <v>8</v>
      </c>
      <c r="B9" s="56" t="s">
        <v>48</v>
      </c>
      <c r="C9" s="5">
        <v>29.100000000000005</v>
      </c>
      <c r="D9" s="5">
        <v>29.20000000000001</v>
      </c>
      <c r="E9" s="5">
        <v>28.5</v>
      </c>
      <c r="F9" s="5">
        <f>SUM(C9:E9)</f>
        <v>86.800000000000011</v>
      </c>
    </row>
    <row r="10" spans="1:6" ht="17.399999999999999" customHeight="1" x14ac:dyDescent="0.3">
      <c r="A10" s="54">
        <v>9</v>
      </c>
      <c r="B10" s="56" t="s">
        <v>46</v>
      </c>
      <c r="C10" s="5">
        <v>28.799999999999997</v>
      </c>
      <c r="D10" s="5">
        <v>29.299999999999997</v>
      </c>
      <c r="E10" s="5">
        <v>28.599999999999994</v>
      </c>
      <c r="F10" s="5">
        <f>SUM(C10:E10)</f>
        <v>86.699999999999989</v>
      </c>
    </row>
    <row r="11" spans="1:6" ht="17.399999999999999" customHeight="1" x14ac:dyDescent="0.3">
      <c r="A11" s="54">
        <v>10</v>
      </c>
      <c r="B11" s="56" t="s">
        <v>43</v>
      </c>
      <c r="C11" s="5">
        <v>28.300000000000004</v>
      </c>
      <c r="D11" s="5"/>
      <c r="E11" s="5">
        <v>28.5</v>
      </c>
      <c r="F11" s="5">
        <f>SUM(C11:E11)</f>
        <v>56.800000000000004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C957-A098-4BAE-8CE8-D5D8D5F4ECE3}">
  <dimension ref="A1:F11"/>
  <sheetViews>
    <sheetView workbookViewId="0">
      <selection activeCell="A2" sqref="A2:F2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2" t="s">
        <v>62</v>
      </c>
      <c r="C2" s="221">
        <v>29.799999999999997</v>
      </c>
      <c r="D2" s="221">
        <v>29.900000000000002</v>
      </c>
      <c r="E2" s="221">
        <v>30</v>
      </c>
      <c r="F2" s="221">
        <f>SUM(C2:E2)</f>
        <v>89.7</v>
      </c>
    </row>
    <row r="3" spans="1:6" ht="17.399999999999999" customHeight="1" x14ac:dyDescent="0.3">
      <c r="A3" s="54">
        <v>2</v>
      </c>
      <c r="B3" s="56" t="s">
        <v>33</v>
      </c>
      <c r="C3" s="5">
        <v>29.799999999999997</v>
      </c>
      <c r="D3" s="5">
        <v>29.799999999999997</v>
      </c>
      <c r="E3" s="5">
        <v>29.9</v>
      </c>
      <c r="F3" s="5">
        <f>SUM(C3:E3)</f>
        <v>89.5</v>
      </c>
    </row>
    <row r="4" spans="1:6" ht="17.399999999999999" customHeight="1" x14ac:dyDescent="0.3">
      <c r="A4" s="54">
        <v>3</v>
      </c>
      <c r="B4" s="55" t="s">
        <v>42</v>
      </c>
      <c r="C4" s="5">
        <v>29.600000000000005</v>
      </c>
      <c r="D4" s="5">
        <v>29.9</v>
      </c>
      <c r="E4" s="5">
        <v>29.8</v>
      </c>
      <c r="F4" s="5">
        <f>SUM(C4:E4)</f>
        <v>89.3</v>
      </c>
    </row>
    <row r="5" spans="1:6" ht="17.399999999999999" customHeight="1" x14ac:dyDescent="0.3">
      <c r="A5" s="54">
        <v>4</v>
      </c>
      <c r="B5" s="56" t="s">
        <v>44</v>
      </c>
      <c r="C5" s="5">
        <v>29.7</v>
      </c>
      <c r="D5" s="5">
        <v>29.600000000000005</v>
      </c>
      <c r="E5" s="5">
        <v>29.500000000000007</v>
      </c>
      <c r="F5" s="5">
        <f>SUM(C5:E5)</f>
        <v>88.800000000000011</v>
      </c>
    </row>
    <row r="6" spans="1:6" ht="17.399999999999999" customHeight="1" x14ac:dyDescent="0.3">
      <c r="A6" s="54">
        <v>5</v>
      </c>
      <c r="B6" s="56" t="s">
        <v>45</v>
      </c>
      <c r="C6" s="5">
        <v>29.4</v>
      </c>
      <c r="D6" s="5">
        <v>29.8</v>
      </c>
      <c r="E6" s="5">
        <v>29.4</v>
      </c>
      <c r="F6" s="5">
        <f>SUM(C6:E6)</f>
        <v>88.6</v>
      </c>
    </row>
    <row r="7" spans="1:6" ht="17.399999999999999" customHeight="1" x14ac:dyDescent="0.3">
      <c r="A7" s="54">
        <v>6</v>
      </c>
      <c r="B7" s="56" t="s">
        <v>48</v>
      </c>
      <c r="C7" s="5">
        <v>29.400000000000002</v>
      </c>
      <c r="D7" s="5">
        <v>29.8</v>
      </c>
      <c r="E7" s="5">
        <v>29.300000000000004</v>
      </c>
      <c r="F7" s="5">
        <f>SUM(C7:E7)</f>
        <v>88.5</v>
      </c>
    </row>
    <row r="8" spans="1:6" ht="17.399999999999999" customHeight="1" x14ac:dyDescent="0.3">
      <c r="A8" s="54">
        <v>7</v>
      </c>
      <c r="B8" s="56" t="s">
        <v>32</v>
      </c>
      <c r="C8" s="5">
        <v>29.299999999999997</v>
      </c>
      <c r="D8" s="5">
        <v>29.200000000000003</v>
      </c>
      <c r="E8" s="5">
        <v>29.400000000000006</v>
      </c>
      <c r="F8" s="5">
        <f>SUM(C8:E8)</f>
        <v>87.9</v>
      </c>
    </row>
    <row r="9" spans="1:6" ht="17.399999999999999" customHeight="1" x14ac:dyDescent="0.3">
      <c r="A9" s="54">
        <v>8</v>
      </c>
      <c r="B9" s="56" t="s">
        <v>46</v>
      </c>
      <c r="C9" s="5">
        <v>28.9</v>
      </c>
      <c r="D9" s="5">
        <v>29.4</v>
      </c>
      <c r="E9" s="5">
        <v>29.200000000000003</v>
      </c>
      <c r="F9" s="5">
        <f>SUM(C9:E9)</f>
        <v>87.5</v>
      </c>
    </row>
    <row r="10" spans="1:6" ht="17.399999999999999" customHeight="1" x14ac:dyDescent="0.3">
      <c r="A10" s="54">
        <v>9</v>
      </c>
      <c r="B10" s="56" t="s">
        <v>28</v>
      </c>
      <c r="C10" s="5">
        <v>28.799999999999997</v>
      </c>
      <c r="D10" s="5">
        <v>29.300000000000004</v>
      </c>
      <c r="E10" s="5">
        <v>29</v>
      </c>
      <c r="F10" s="5">
        <f>SUM(C10:E10)</f>
        <v>87.1</v>
      </c>
    </row>
    <row r="11" spans="1:6" ht="17.399999999999999" customHeight="1" x14ac:dyDescent="0.3">
      <c r="A11" s="54">
        <v>10</v>
      </c>
      <c r="B11" s="56" t="s">
        <v>43</v>
      </c>
      <c r="C11" s="5">
        <v>28.599999999999994</v>
      </c>
      <c r="D11" s="5"/>
      <c r="E11" s="5">
        <v>28.899999999999995</v>
      </c>
      <c r="F11" s="5">
        <f>SUM(C11:E11)</f>
        <v>57.499999999999986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17C68-F1FE-412C-9F24-53D6E6CE7A98}">
  <dimension ref="A1:F11"/>
  <sheetViews>
    <sheetView workbookViewId="0">
      <selection activeCell="J7" sqref="J7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0" t="s">
        <v>45</v>
      </c>
      <c r="C2" s="221">
        <v>29.900000000000002</v>
      </c>
      <c r="D2" s="221">
        <v>29.999999999999996</v>
      </c>
      <c r="E2" s="221">
        <v>29.900000000000002</v>
      </c>
      <c r="F2" s="221">
        <f>SUM(C2:E2)</f>
        <v>89.8</v>
      </c>
    </row>
    <row r="3" spans="1:6" ht="17.399999999999999" customHeight="1" x14ac:dyDescent="0.3">
      <c r="A3" s="54">
        <v>2</v>
      </c>
      <c r="B3" s="56" t="s">
        <v>62</v>
      </c>
      <c r="C3" s="5">
        <v>30</v>
      </c>
      <c r="D3" s="5">
        <v>29.7</v>
      </c>
      <c r="E3" s="5">
        <v>30</v>
      </c>
      <c r="F3" s="5">
        <f>SUM(C3:E3)</f>
        <v>89.7</v>
      </c>
    </row>
    <row r="4" spans="1:6" ht="17.399999999999999" customHeight="1" x14ac:dyDescent="0.3">
      <c r="A4" s="54">
        <v>3</v>
      </c>
      <c r="B4" s="56" t="s">
        <v>33</v>
      </c>
      <c r="C4" s="5">
        <v>30</v>
      </c>
      <c r="D4" s="5">
        <v>29.399999999999995</v>
      </c>
      <c r="E4" s="5">
        <v>30</v>
      </c>
      <c r="F4" s="5">
        <f>SUM(C4:E4)</f>
        <v>89.399999999999991</v>
      </c>
    </row>
    <row r="5" spans="1:6" ht="17.399999999999999" customHeight="1" x14ac:dyDescent="0.3">
      <c r="A5" s="54">
        <v>4</v>
      </c>
      <c r="B5" s="56" t="s">
        <v>32</v>
      </c>
      <c r="C5" s="5">
        <v>29.6</v>
      </c>
      <c r="D5" s="5">
        <v>29.7</v>
      </c>
      <c r="E5" s="5">
        <v>29.799999999999994</v>
      </c>
      <c r="F5" s="5">
        <f>SUM(C5:E5)</f>
        <v>89.1</v>
      </c>
    </row>
    <row r="6" spans="1:6" ht="17.399999999999999" customHeight="1" x14ac:dyDescent="0.3">
      <c r="A6" s="54">
        <v>5</v>
      </c>
      <c r="B6" s="56" t="s">
        <v>28</v>
      </c>
      <c r="C6" s="5">
        <v>29.899999999999995</v>
      </c>
      <c r="D6" s="5">
        <v>29.599999999999998</v>
      </c>
      <c r="E6" s="5">
        <v>29.300000000000004</v>
      </c>
      <c r="F6" s="5">
        <f>SUM(C6:E6)</f>
        <v>88.8</v>
      </c>
    </row>
    <row r="7" spans="1:6" ht="17.399999999999999" customHeight="1" x14ac:dyDescent="0.3">
      <c r="A7" s="54">
        <v>6</v>
      </c>
      <c r="B7" s="55" t="s">
        <v>47</v>
      </c>
      <c r="C7" s="5">
        <v>29.8</v>
      </c>
      <c r="D7" s="5">
        <v>29.5</v>
      </c>
      <c r="E7" s="5">
        <v>29.499999999999993</v>
      </c>
      <c r="F7" s="5">
        <f>SUM(C7:E7)</f>
        <v>88.799999999999983</v>
      </c>
    </row>
    <row r="8" spans="1:6" ht="17.399999999999999" customHeight="1" x14ac:dyDescent="0.3">
      <c r="A8" s="54">
        <v>7</v>
      </c>
      <c r="B8" s="55" t="s">
        <v>42</v>
      </c>
      <c r="C8" s="5">
        <v>29.199999999999996</v>
      </c>
      <c r="D8" s="5">
        <v>29.5</v>
      </c>
      <c r="E8" s="5">
        <v>29.299999999999997</v>
      </c>
      <c r="F8" s="5">
        <f>SUM(C8:E8)</f>
        <v>88</v>
      </c>
    </row>
    <row r="9" spans="1:6" ht="17.399999999999999" customHeight="1" x14ac:dyDescent="0.3">
      <c r="A9" s="54">
        <v>8</v>
      </c>
      <c r="B9" s="56" t="s">
        <v>48</v>
      </c>
      <c r="C9" s="5">
        <v>29.4</v>
      </c>
      <c r="D9" s="5">
        <v>29.300000000000004</v>
      </c>
      <c r="E9" s="5">
        <v>29</v>
      </c>
      <c r="F9" s="5">
        <f>SUM(C9:E9)</f>
        <v>87.7</v>
      </c>
    </row>
    <row r="10" spans="1:6" ht="17.399999999999999" customHeight="1" x14ac:dyDescent="0.3">
      <c r="A10" s="54">
        <v>9</v>
      </c>
      <c r="B10" s="56" t="s">
        <v>46</v>
      </c>
      <c r="C10" s="5">
        <v>29.200000000000003</v>
      </c>
      <c r="D10" s="5">
        <v>29.199999999999996</v>
      </c>
      <c r="E10" s="5">
        <v>28.999999999999993</v>
      </c>
      <c r="F10" s="5">
        <f>SUM(C10:E10)</f>
        <v>87.399999999999991</v>
      </c>
    </row>
    <row r="11" spans="1:6" ht="17.399999999999999" customHeight="1" x14ac:dyDescent="0.3">
      <c r="A11" s="54">
        <v>10</v>
      </c>
      <c r="B11" s="56" t="s">
        <v>43</v>
      </c>
      <c r="C11" s="5">
        <v>28.799999999999997</v>
      </c>
      <c r="D11" s="5"/>
      <c r="E11" s="5">
        <v>28.9</v>
      </c>
      <c r="F11" s="5">
        <f>SUM(C11:E11)</f>
        <v>57.699999999999996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78423-F63B-4E0B-A29E-51903D0E36A8}">
  <dimension ref="A1:F11"/>
  <sheetViews>
    <sheetView workbookViewId="0">
      <selection activeCell="H1" sqref="H1:H1048576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0" t="s">
        <v>62</v>
      </c>
      <c r="C2" s="221">
        <v>30</v>
      </c>
      <c r="D2" s="221">
        <v>29.999999999999996</v>
      </c>
      <c r="E2" s="221">
        <v>30</v>
      </c>
      <c r="F2" s="221">
        <f>SUM(C2:E2)</f>
        <v>90</v>
      </c>
    </row>
    <row r="3" spans="1:6" ht="17.399999999999999" customHeight="1" x14ac:dyDescent="0.3">
      <c r="A3" s="54">
        <v>2</v>
      </c>
      <c r="B3" s="56" t="s">
        <v>33</v>
      </c>
      <c r="C3" s="5">
        <v>29.7</v>
      </c>
      <c r="D3" s="5">
        <v>30.000000000000004</v>
      </c>
      <c r="E3" s="5">
        <v>30</v>
      </c>
      <c r="F3" s="5">
        <f>SUM(C3:E3)</f>
        <v>89.7</v>
      </c>
    </row>
    <row r="4" spans="1:6" ht="17.399999999999999" customHeight="1" x14ac:dyDescent="0.3">
      <c r="A4" s="54">
        <v>3</v>
      </c>
      <c r="B4" s="56" t="s">
        <v>45</v>
      </c>
      <c r="C4" s="5">
        <v>30</v>
      </c>
      <c r="D4" s="5">
        <v>30</v>
      </c>
      <c r="E4" s="5">
        <v>29.599999999999998</v>
      </c>
      <c r="F4" s="5">
        <f>SUM(C4:E4)</f>
        <v>89.6</v>
      </c>
    </row>
    <row r="5" spans="1:6" ht="17.399999999999999" customHeight="1" x14ac:dyDescent="0.3">
      <c r="A5" s="54">
        <v>4</v>
      </c>
      <c r="B5" s="55" t="s">
        <v>42</v>
      </c>
      <c r="C5" s="5">
        <v>29.8</v>
      </c>
      <c r="D5" s="5">
        <v>29.8</v>
      </c>
      <c r="E5" s="5">
        <v>29.8</v>
      </c>
      <c r="F5" s="5">
        <f>SUM(C5:E5)</f>
        <v>89.4</v>
      </c>
    </row>
    <row r="6" spans="1:6" ht="17.399999999999999" customHeight="1" x14ac:dyDescent="0.3">
      <c r="A6" s="54">
        <v>5</v>
      </c>
      <c r="B6" s="55" t="s">
        <v>47</v>
      </c>
      <c r="C6" s="5">
        <v>29.900000000000002</v>
      </c>
      <c r="D6" s="5">
        <v>29.9</v>
      </c>
      <c r="E6" s="5">
        <v>29.599999999999998</v>
      </c>
      <c r="F6" s="5">
        <f>SUM(C6:E6)</f>
        <v>89.399999999999991</v>
      </c>
    </row>
    <row r="7" spans="1:6" ht="17.399999999999999" customHeight="1" x14ac:dyDescent="0.3">
      <c r="A7" s="54">
        <v>6</v>
      </c>
      <c r="B7" s="56" t="s">
        <v>32</v>
      </c>
      <c r="C7" s="5">
        <v>29.799999999999997</v>
      </c>
      <c r="D7" s="5">
        <v>30</v>
      </c>
      <c r="E7" s="5">
        <v>29.499999999999996</v>
      </c>
      <c r="F7" s="5">
        <f>SUM(C7:E7)</f>
        <v>89.3</v>
      </c>
    </row>
    <row r="8" spans="1:6" ht="17.399999999999999" customHeight="1" x14ac:dyDescent="0.3">
      <c r="A8" s="54">
        <v>7</v>
      </c>
      <c r="B8" s="56" t="s">
        <v>28</v>
      </c>
      <c r="C8" s="5">
        <v>29.8</v>
      </c>
      <c r="D8" s="5">
        <v>29.8</v>
      </c>
      <c r="E8" s="5">
        <v>29.500000000000004</v>
      </c>
      <c r="F8" s="5">
        <f>SUM(C8:E8)</f>
        <v>89.100000000000009</v>
      </c>
    </row>
    <row r="9" spans="1:6" ht="17.399999999999999" customHeight="1" x14ac:dyDescent="0.3">
      <c r="A9" s="54">
        <v>8</v>
      </c>
      <c r="B9" s="56" t="s">
        <v>48</v>
      </c>
      <c r="C9" s="5">
        <v>29.7</v>
      </c>
      <c r="D9" s="5">
        <v>29.8</v>
      </c>
      <c r="E9" s="5">
        <v>29.20000000000001</v>
      </c>
      <c r="F9" s="5">
        <f>SUM(C9:E9)</f>
        <v>88.700000000000017</v>
      </c>
    </row>
    <row r="10" spans="1:6" ht="17.399999999999999" customHeight="1" x14ac:dyDescent="0.3">
      <c r="A10" s="54">
        <v>9</v>
      </c>
      <c r="B10" s="56" t="s">
        <v>46</v>
      </c>
      <c r="C10" s="5">
        <v>29.399999999999995</v>
      </c>
      <c r="D10" s="5">
        <v>29.600000000000005</v>
      </c>
      <c r="E10" s="5">
        <v>29.20000000000001</v>
      </c>
      <c r="F10" s="5">
        <f>SUM(C10:E10)</f>
        <v>88.200000000000017</v>
      </c>
    </row>
    <row r="11" spans="1:6" ht="17.399999999999999" customHeight="1" x14ac:dyDescent="0.3">
      <c r="A11" s="54">
        <v>10</v>
      </c>
      <c r="B11" s="56" t="s">
        <v>43</v>
      </c>
      <c r="C11" s="5">
        <v>28.5</v>
      </c>
      <c r="D11" s="5"/>
      <c r="E11" s="5">
        <v>28.599999999999994</v>
      </c>
      <c r="F11" s="5">
        <f>SUM(C11:E11)</f>
        <v>57.099999999999994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6727F-8B46-45FD-BF11-A73E6CAD0418}">
  <dimension ref="A1:F11"/>
  <sheetViews>
    <sheetView workbookViewId="0">
      <selection activeCell="F2" sqref="A2:F2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2" t="s">
        <v>47</v>
      </c>
      <c r="C2" s="221">
        <v>30</v>
      </c>
      <c r="D2" s="221">
        <v>30</v>
      </c>
      <c r="E2" s="221">
        <v>29.900000000000002</v>
      </c>
      <c r="F2" s="221">
        <f>SUM(C2:E2)</f>
        <v>89.9</v>
      </c>
    </row>
    <row r="3" spans="1:6" ht="17.399999999999999" customHeight="1" x14ac:dyDescent="0.3">
      <c r="A3" s="54">
        <v>2</v>
      </c>
      <c r="B3" s="56" t="s">
        <v>62</v>
      </c>
      <c r="C3" s="5">
        <v>29.999999999999996</v>
      </c>
      <c r="D3" s="5">
        <v>29.600000000000005</v>
      </c>
      <c r="E3" s="5">
        <v>29.9</v>
      </c>
      <c r="F3" s="5">
        <f>SUM(C3:E3)</f>
        <v>89.5</v>
      </c>
    </row>
    <row r="4" spans="1:6" ht="17.399999999999999" customHeight="1" x14ac:dyDescent="0.3">
      <c r="A4" s="54">
        <v>3</v>
      </c>
      <c r="B4" s="56" t="s">
        <v>45</v>
      </c>
      <c r="C4" s="5">
        <v>29.7</v>
      </c>
      <c r="D4" s="5">
        <v>29.799999999999994</v>
      </c>
      <c r="E4" s="5">
        <v>29.599999999999998</v>
      </c>
      <c r="F4" s="5">
        <f>SUM(C4:E4)</f>
        <v>89.1</v>
      </c>
    </row>
    <row r="5" spans="1:6" ht="17.399999999999999" customHeight="1" x14ac:dyDescent="0.3">
      <c r="A5" s="54">
        <v>4</v>
      </c>
      <c r="B5" s="56" t="s">
        <v>28</v>
      </c>
      <c r="C5" s="5">
        <v>29.6</v>
      </c>
      <c r="D5" s="5">
        <v>29.6</v>
      </c>
      <c r="E5" s="5">
        <v>29.699999999999996</v>
      </c>
      <c r="F5" s="5">
        <f>SUM(C5:E5)</f>
        <v>88.9</v>
      </c>
    </row>
    <row r="6" spans="1:6" ht="17.399999999999999" customHeight="1" x14ac:dyDescent="0.3">
      <c r="A6" s="54">
        <v>5</v>
      </c>
      <c r="B6" s="56" t="s">
        <v>33</v>
      </c>
      <c r="C6" s="5">
        <v>29.499999999999996</v>
      </c>
      <c r="D6" s="5">
        <v>29.4</v>
      </c>
      <c r="E6" s="5">
        <v>29.9</v>
      </c>
      <c r="F6" s="5">
        <f>SUM(C6:E6)</f>
        <v>88.799999999999983</v>
      </c>
    </row>
    <row r="7" spans="1:6" ht="17.399999999999999" customHeight="1" x14ac:dyDescent="0.3">
      <c r="A7" s="54">
        <v>6</v>
      </c>
      <c r="B7" s="56" t="s">
        <v>32</v>
      </c>
      <c r="C7" s="5">
        <v>29.5</v>
      </c>
      <c r="D7" s="5">
        <v>29.500000000000004</v>
      </c>
      <c r="E7" s="5">
        <v>29.599999999999994</v>
      </c>
      <c r="F7" s="5">
        <f>SUM(C7:E7)</f>
        <v>88.6</v>
      </c>
    </row>
    <row r="8" spans="1:6" ht="17.399999999999999" customHeight="1" x14ac:dyDescent="0.3">
      <c r="A8" s="54">
        <v>7</v>
      </c>
      <c r="B8" s="55" t="s">
        <v>42</v>
      </c>
      <c r="C8" s="5">
        <v>29.100000000000005</v>
      </c>
      <c r="D8" s="5">
        <v>29.699999999999996</v>
      </c>
      <c r="E8" s="5">
        <v>29.1</v>
      </c>
      <c r="F8" s="5">
        <f>SUM(C8:E8)</f>
        <v>87.9</v>
      </c>
    </row>
    <row r="9" spans="1:6" ht="17.399999999999999" customHeight="1" x14ac:dyDescent="0.3">
      <c r="A9" s="54">
        <v>8</v>
      </c>
      <c r="B9" s="56" t="s">
        <v>46</v>
      </c>
      <c r="C9" s="5">
        <v>29.299999999999997</v>
      </c>
      <c r="D9" s="5">
        <v>29.399999999999991</v>
      </c>
      <c r="E9" s="5">
        <v>29.199999999999996</v>
      </c>
      <c r="F9" s="5">
        <f>SUM(C9:E9)</f>
        <v>87.899999999999977</v>
      </c>
    </row>
    <row r="10" spans="1:6" ht="17.399999999999999" customHeight="1" x14ac:dyDescent="0.3">
      <c r="A10" s="54">
        <v>9</v>
      </c>
      <c r="B10" s="56" t="s">
        <v>48</v>
      </c>
      <c r="C10" s="5">
        <v>29.300000000000004</v>
      </c>
      <c r="D10" s="5">
        <v>29.3</v>
      </c>
      <c r="E10" s="5">
        <v>29</v>
      </c>
      <c r="F10" s="5">
        <f>SUM(C10:E10)</f>
        <v>87.600000000000009</v>
      </c>
    </row>
    <row r="11" spans="1:6" ht="17.399999999999999" customHeight="1" x14ac:dyDescent="0.3">
      <c r="A11" s="54">
        <v>10</v>
      </c>
      <c r="B11" s="56" t="s">
        <v>43</v>
      </c>
      <c r="C11" s="5">
        <v>28.800000000000004</v>
      </c>
      <c r="D11" s="5"/>
      <c r="E11" s="5">
        <v>28.6</v>
      </c>
      <c r="F11" s="5">
        <f>SUM(C11:E11)</f>
        <v>57.400000000000006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6D1C6-A376-4CAC-A171-669B2B9292CB}">
  <dimension ref="A1:F11"/>
  <sheetViews>
    <sheetView workbookViewId="0">
      <selection activeCell="A2" sqref="A2:F2"/>
    </sheetView>
  </sheetViews>
  <sheetFormatPr defaultRowHeight="17.399999999999999" customHeight="1" x14ac:dyDescent="0.3"/>
  <cols>
    <col min="1" max="1" width="3" bestFit="1" customWidth="1"/>
    <col min="2" max="2" width="30.6640625" bestFit="1" customWidth="1"/>
  </cols>
  <sheetData>
    <row r="1" spans="1:6" ht="17.399999999999999" customHeight="1" x14ac:dyDescent="0.3">
      <c r="A1" s="6" t="s">
        <v>11</v>
      </c>
      <c r="B1" s="6" t="s">
        <v>37</v>
      </c>
      <c r="C1" s="6" t="s">
        <v>34</v>
      </c>
      <c r="D1" s="6" t="s">
        <v>35</v>
      </c>
      <c r="E1" s="6" t="s">
        <v>36</v>
      </c>
      <c r="F1" s="6" t="s">
        <v>10</v>
      </c>
    </row>
    <row r="2" spans="1:6" ht="17.399999999999999" customHeight="1" x14ac:dyDescent="0.3">
      <c r="A2" s="219">
        <v>1</v>
      </c>
      <c r="B2" s="220" t="s">
        <v>62</v>
      </c>
      <c r="C2" s="221">
        <v>30</v>
      </c>
      <c r="D2" s="221">
        <v>30</v>
      </c>
      <c r="E2" s="221">
        <v>30</v>
      </c>
      <c r="F2" s="221">
        <f>SUM(C2:E2)</f>
        <v>90</v>
      </c>
    </row>
    <row r="3" spans="1:6" ht="17.399999999999999" customHeight="1" x14ac:dyDescent="0.3">
      <c r="A3" s="54">
        <v>2</v>
      </c>
      <c r="B3" s="56" t="s">
        <v>33</v>
      </c>
      <c r="C3" s="5">
        <v>30</v>
      </c>
      <c r="D3" s="5">
        <v>29.899999999999995</v>
      </c>
      <c r="E3" s="5">
        <v>30</v>
      </c>
      <c r="F3" s="5">
        <f>SUM(C3:E3)</f>
        <v>89.899999999999991</v>
      </c>
    </row>
    <row r="4" spans="1:6" ht="17.399999999999999" customHeight="1" x14ac:dyDescent="0.3">
      <c r="A4" s="54">
        <v>3</v>
      </c>
      <c r="B4" s="56" t="s">
        <v>45</v>
      </c>
      <c r="C4" s="5">
        <v>30</v>
      </c>
      <c r="D4" s="5">
        <v>30</v>
      </c>
      <c r="E4" s="5">
        <v>29.799999999999997</v>
      </c>
      <c r="F4" s="5">
        <f>SUM(C4:E4)</f>
        <v>89.8</v>
      </c>
    </row>
    <row r="5" spans="1:6" ht="17.399999999999999" customHeight="1" x14ac:dyDescent="0.3">
      <c r="A5" s="54">
        <v>4</v>
      </c>
      <c r="B5" s="55" t="s">
        <v>42</v>
      </c>
      <c r="C5" s="5">
        <v>30</v>
      </c>
      <c r="D5" s="5">
        <v>29.900000000000002</v>
      </c>
      <c r="E5" s="5">
        <v>29.899999999999995</v>
      </c>
      <c r="F5" s="5">
        <f>SUM(C5:E5)</f>
        <v>89.8</v>
      </c>
    </row>
    <row r="6" spans="1:6" ht="17.399999999999999" customHeight="1" x14ac:dyDescent="0.3">
      <c r="A6" s="54">
        <v>5</v>
      </c>
      <c r="B6" s="56" t="s">
        <v>32</v>
      </c>
      <c r="C6" s="5">
        <v>29.999999999999996</v>
      </c>
      <c r="D6" s="5">
        <v>29.7</v>
      </c>
      <c r="E6" s="5">
        <v>30</v>
      </c>
      <c r="F6" s="5">
        <f>SUM(C6:E6)</f>
        <v>89.699999999999989</v>
      </c>
    </row>
    <row r="7" spans="1:6" ht="17.399999999999999" customHeight="1" x14ac:dyDescent="0.3">
      <c r="A7" s="54">
        <v>6</v>
      </c>
      <c r="B7" s="56" t="s">
        <v>48</v>
      </c>
      <c r="C7" s="5">
        <v>29.999999999999996</v>
      </c>
      <c r="D7" s="5">
        <v>29.999999999999996</v>
      </c>
      <c r="E7" s="5">
        <v>29.599999999999998</v>
      </c>
      <c r="F7" s="5">
        <f>SUM(C7:E7)</f>
        <v>89.6</v>
      </c>
    </row>
    <row r="8" spans="1:6" ht="17.399999999999999" customHeight="1" x14ac:dyDescent="0.3">
      <c r="A8" s="54">
        <v>7</v>
      </c>
      <c r="B8" s="56" t="s">
        <v>28</v>
      </c>
      <c r="C8" s="5">
        <v>29.8</v>
      </c>
      <c r="D8" s="5">
        <v>29.900000000000002</v>
      </c>
      <c r="E8" s="5">
        <v>29.599999999999994</v>
      </c>
      <c r="F8" s="5">
        <f>SUM(C8:E8)</f>
        <v>89.3</v>
      </c>
    </row>
    <row r="9" spans="1:6" ht="17.399999999999999" customHeight="1" x14ac:dyDescent="0.3">
      <c r="A9" s="54">
        <v>8</v>
      </c>
      <c r="B9" s="56" t="s">
        <v>46</v>
      </c>
      <c r="C9" s="5">
        <v>29.8</v>
      </c>
      <c r="D9" s="5">
        <v>29.7</v>
      </c>
      <c r="E9" s="5">
        <v>29.700000000000003</v>
      </c>
      <c r="F9" s="5">
        <f>SUM(C9:E9)</f>
        <v>89.2</v>
      </c>
    </row>
    <row r="10" spans="1:6" ht="17.399999999999999" customHeight="1" x14ac:dyDescent="0.3">
      <c r="A10" s="54">
        <v>9</v>
      </c>
      <c r="B10" s="55" t="s">
        <v>47</v>
      </c>
      <c r="C10" s="5">
        <v>29.900000000000002</v>
      </c>
      <c r="D10" s="5">
        <v>29.900000000000002</v>
      </c>
      <c r="E10" s="5">
        <v>29.100000000000005</v>
      </c>
      <c r="F10" s="5">
        <f>SUM(C10:E10)</f>
        <v>88.9</v>
      </c>
    </row>
    <row r="11" spans="1:6" ht="17.399999999999999" customHeight="1" x14ac:dyDescent="0.3">
      <c r="A11" s="54">
        <v>10</v>
      </c>
      <c r="B11" s="56" t="s">
        <v>43</v>
      </c>
      <c r="C11" s="5">
        <v>29.700000000000003</v>
      </c>
      <c r="D11" s="5"/>
      <c r="E11" s="5">
        <v>29.400000000000006</v>
      </c>
      <c r="F11" s="5">
        <f>SUM(C11:E11)</f>
        <v>59.100000000000009</v>
      </c>
    </row>
  </sheetData>
  <sortState xmlns:xlrd2="http://schemas.microsoft.com/office/spreadsheetml/2017/richdata2" ref="B2:F11">
    <sortCondition descending="1" ref="F2:F1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1ª ETAPA</vt:lpstr>
      <vt:lpstr>2ª ETAPA</vt:lpstr>
      <vt:lpstr>3ª ETAPA</vt:lpstr>
      <vt:lpstr>RESULTADO FINAL</vt:lpstr>
      <vt:lpstr>COREOGRAFIA</vt:lpstr>
      <vt:lpstr>MARCAÇÃO</vt:lpstr>
      <vt:lpstr>ANIMAÇÃO</vt:lpstr>
      <vt:lpstr>FIGURINO</vt:lpstr>
      <vt:lpstr>CASAL DE NOIVOS</vt:lpstr>
      <vt:lpstr>TRILHA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Eduardo Coimbra Castro</cp:lastModifiedBy>
  <cp:lastPrinted>2025-07-05T23:43:29Z</cp:lastPrinted>
  <dcterms:created xsi:type="dcterms:W3CDTF">2015-07-07T02:59:34Z</dcterms:created>
  <dcterms:modified xsi:type="dcterms:W3CDTF">2025-07-06T02:12:46Z</dcterms:modified>
</cp:coreProperties>
</file>
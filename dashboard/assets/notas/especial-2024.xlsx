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ago\Documents\GitHub\site-linq-dfe-beta\dashboard\assets\notas\"/>
    </mc:Choice>
  </mc:AlternateContent>
  <xr:revisionPtr revIDLastSave="0" documentId="13_ncr:1_{1BD6AA31-CA8D-438B-9364-C2EC7F655070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TOTAL" sheetId="36" r:id="rId1"/>
    <sheet name="COREOGRAFIA" sheetId="37" r:id="rId2"/>
    <sheet name="MARCAÇÃO" sheetId="38" r:id="rId3"/>
    <sheet name="ANIMAÇÃO" sheetId="39" r:id="rId4"/>
    <sheet name="FIGURINO" sheetId="40" r:id="rId5"/>
    <sheet name="CASAL DE NOIVOS" sheetId="41" r:id="rId6"/>
    <sheet name="TRILHA SONORA" sheetId="42" r:id="rId7"/>
    <sheet name="TEMÁTICA" sheetId="44" r:id="rId8"/>
  </sheets>
  <definedNames>
    <definedName name="_xlnm._FilterDatabase" localSheetId="7" hidden="1">TEMÁTICA!$A$1:$C$16</definedName>
    <definedName name="_xlnm._FilterDatabase" localSheetId="6" hidden="1">'TRILHA SONORA'!$A$1:$C$16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36" l="1"/>
  <c r="G4" i="36"/>
  <c r="G5" i="36"/>
  <c r="G6" i="36"/>
  <c r="G7" i="36"/>
  <c r="G8" i="36"/>
  <c r="H8" i="36" s="1"/>
  <c r="I8" i="36" s="1"/>
  <c r="J8" i="36" s="1"/>
  <c r="G9" i="36"/>
  <c r="H9" i="36" s="1"/>
  <c r="I9" i="36" s="1"/>
  <c r="J9" i="36" s="1"/>
  <c r="G10" i="36"/>
  <c r="H10" i="36" s="1"/>
  <c r="I10" i="36" s="1"/>
  <c r="J10" i="36" s="1"/>
  <c r="G11" i="36"/>
  <c r="G12" i="36"/>
  <c r="G13" i="36"/>
  <c r="H13" i="36" s="1"/>
  <c r="I13" i="36" s="1"/>
  <c r="J13" i="36" s="1"/>
  <c r="G14" i="36"/>
  <c r="H14" i="36" s="1"/>
  <c r="I14" i="36" s="1"/>
  <c r="J14" i="36" s="1"/>
  <c r="G15" i="36"/>
  <c r="H15" i="36" s="1"/>
  <c r="I15" i="36" s="1"/>
  <c r="J15" i="36" s="1"/>
  <c r="G16" i="36"/>
  <c r="H16" i="36" s="1"/>
  <c r="I16" i="36" s="1"/>
  <c r="J16" i="36" s="1"/>
  <c r="G2" i="36"/>
  <c r="H2" i="36" s="1"/>
  <c r="I2" i="36" s="1"/>
  <c r="J2" i="36" s="1"/>
  <c r="G17" i="44"/>
  <c r="H17" i="44" s="1"/>
  <c r="F16" i="44"/>
  <c r="G16" i="44" s="1"/>
  <c r="H16" i="44" s="1"/>
  <c r="F15" i="44"/>
  <c r="G15" i="44" s="1"/>
  <c r="H15" i="44" s="1"/>
  <c r="F14" i="44"/>
  <c r="G14" i="44" s="1"/>
  <c r="H14" i="44" s="1"/>
  <c r="G13" i="44"/>
  <c r="H13" i="44" s="1"/>
  <c r="F13" i="44"/>
  <c r="F12" i="44"/>
  <c r="G12" i="44" s="1"/>
  <c r="H12" i="44" s="1"/>
  <c r="F11" i="44"/>
  <c r="G11" i="44" s="1"/>
  <c r="H11" i="44" s="1"/>
  <c r="F10" i="44"/>
  <c r="G10" i="44" s="1"/>
  <c r="H10" i="44" s="1"/>
  <c r="F9" i="44"/>
  <c r="G9" i="44" s="1"/>
  <c r="H9" i="44" s="1"/>
  <c r="F8" i="44"/>
  <c r="G8" i="44" s="1"/>
  <c r="H8" i="44" s="1"/>
  <c r="F7" i="44"/>
  <c r="G7" i="44" s="1"/>
  <c r="H7" i="44" s="1"/>
  <c r="F6" i="44"/>
  <c r="G6" i="44" s="1"/>
  <c r="H6" i="44" s="1"/>
  <c r="F5" i="44"/>
  <c r="G5" i="44" s="1"/>
  <c r="H5" i="44" s="1"/>
  <c r="F4" i="44"/>
  <c r="G4" i="44" s="1"/>
  <c r="H4" i="44" s="1"/>
  <c r="F3" i="44"/>
  <c r="G3" i="44" s="1"/>
  <c r="H3" i="44" s="1"/>
  <c r="F2" i="44"/>
  <c r="G2" i="44" s="1"/>
  <c r="H2" i="44" s="1"/>
  <c r="H3" i="36"/>
  <c r="I3" i="36" s="1"/>
  <c r="J3" i="36" s="1"/>
  <c r="H4" i="36"/>
  <c r="I4" i="36" s="1"/>
  <c r="J4" i="36" s="1"/>
  <c r="H5" i="36"/>
  <c r="I5" i="36" s="1"/>
  <c r="J5" i="36" s="1"/>
  <c r="H6" i="36"/>
  <c r="I6" i="36" s="1"/>
  <c r="J6" i="36" s="1"/>
  <c r="H7" i="36"/>
  <c r="I7" i="36" s="1"/>
  <c r="J7" i="36" s="1"/>
  <c r="H11" i="36"/>
  <c r="I11" i="36" s="1"/>
  <c r="J11" i="36" s="1"/>
  <c r="H12" i="36"/>
  <c r="I12" i="36" s="1"/>
  <c r="J12" i="36" s="1"/>
  <c r="F16" i="37"/>
  <c r="G16" i="37" s="1"/>
  <c r="H16" i="37" s="1"/>
  <c r="F15" i="37"/>
  <c r="G15" i="37" s="1"/>
  <c r="H15" i="37" s="1"/>
  <c r="F14" i="37"/>
  <c r="G14" i="37" s="1"/>
  <c r="H14" i="37" s="1"/>
  <c r="F13" i="37"/>
  <c r="G13" i="37" s="1"/>
  <c r="H13" i="37" s="1"/>
  <c r="G12" i="37"/>
  <c r="H12" i="37" s="1"/>
  <c r="F12" i="37"/>
  <c r="F11" i="37"/>
  <c r="G11" i="37" s="1"/>
  <c r="H11" i="37" s="1"/>
  <c r="F10" i="37"/>
  <c r="G10" i="37" s="1"/>
  <c r="H10" i="37" s="1"/>
  <c r="F9" i="37"/>
  <c r="G9" i="37" s="1"/>
  <c r="H9" i="37" s="1"/>
  <c r="F8" i="37"/>
  <c r="G8" i="37" s="1"/>
  <c r="H8" i="37" s="1"/>
  <c r="F7" i="37"/>
  <c r="G7" i="37" s="1"/>
  <c r="H7" i="37" s="1"/>
  <c r="G6" i="37"/>
  <c r="H6" i="37" s="1"/>
  <c r="F6" i="37"/>
  <c r="F5" i="37"/>
  <c r="G5" i="37" s="1"/>
  <c r="H5" i="37" s="1"/>
  <c r="F4" i="37"/>
  <c r="G4" i="37" s="1"/>
  <c r="H4" i="37" s="1"/>
  <c r="G3" i="37"/>
  <c r="H3" i="37" s="1"/>
  <c r="F3" i="37"/>
  <c r="F2" i="37"/>
  <c r="G2" i="37" s="1"/>
  <c r="H2" i="37" s="1"/>
  <c r="F16" i="38"/>
  <c r="G16" i="38" s="1"/>
  <c r="H16" i="38" s="1"/>
  <c r="F15" i="38"/>
  <c r="G15" i="38" s="1"/>
  <c r="H15" i="38" s="1"/>
  <c r="F14" i="38"/>
  <c r="G14" i="38" s="1"/>
  <c r="H14" i="38" s="1"/>
  <c r="F13" i="38"/>
  <c r="G13" i="38" s="1"/>
  <c r="H13" i="38" s="1"/>
  <c r="F12" i="38"/>
  <c r="G12" i="38" s="1"/>
  <c r="H12" i="38" s="1"/>
  <c r="F11" i="38"/>
  <c r="G11" i="38" s="1"/>
  <c r="H11" i="38" s="1"/>
  <c r="F10" i="38"/>
  <c r="G10" i="38" s="1"/>
  <c r="H10" i="38" s="1"/>
  <c r="F9" i="38"/>
  <c r="G9" i="38" s="1"/>
  <c r="H9" i="38" s="1"/>
  <c r="F8" i="38"/>
  <c r="G8" i="38" s="1"/>
  <c r="H8" i="38" s="1"/>
  <c r="F7" i="38"/>
  <c r="G7" i="38" s="1"/>
  <c r="H7" i="38" s="1"/>
  <c r="F6" i="38"/>
  <c r="G6" i="38" s="1"/>
  <c r="H6" i="38" s="1"/>
  <c r="F5" i="38"/>
  <c r="G5" i="38" s="1"/>
  <c r="H5" i="38" s="1"/>
  <c r="F4" i="38"/>
  <c r="G4" i="38" s="1"/>
  <c r="H4" i="38" s="1"/>
  <c r="F3" i="38"/>
  <c r="G3" i="38" s="1"/>
  <c r="H3" i="38" s="1"/>
  <c r="F2" i="38"/>
  <c r="G2" i="38" s="1"/>
  <c r="H2" i="38" s="1"/>
  <c r="F16" i="39"/>
  <c r="G16" i="39" s="1"/>
  <c r="H16" i="39" s="1"/>
  <c r="F15" i="39"/>
  <c r="G15" i="39" s="1"/>
  <c r="H15" i="39" s="1"/>
  <c r="F14" i="39"/>
  <c r="G14" i="39" s="1"/>
  <c r="H14" i="39" s="1"/>
  <c r="F13" i="39"/>
  <c r="G13" i="39" s="1"/>
  <c r="H13" i="39" s="1"/>
  <c r="G12" i="39"/>
  <c r="H12" i="39" s="1"/>
  <c r="F12" i="39"/>
  <c r="F11" i="39"/>
  <c r="G11" i="39" s="1"/>
  <c r="H11" i="39" s="1"/>
  <c r="F10" i="39"/>
  <c r="G10" i="39" s="1"/>
  <c r="H10" i="39" s="1"/>
  <c r="F9" i="39"/>
  <c r="G9" i="39" s="1"/>
  <c r="H9" i="39" s="1"/>
  <c r="F8" i="39"/>
  <c r="G8" i="39" s="1"/>
  <c r="H8" i="39" s="1"/>
  <c r="F7" i="39"/>
  <c r="G7" i="39" s="1"/>
  <c r="H7" i="39" s="1"/>
  <c r="F6" i="39"/>
  <c r="G6" i="39" s="1"/>
  <c r="H6" i="39" s="1"/>
  <c r="F5" i="39"/>
  <c r="G5" i="39" s="1"/>
  <c r="H5" i="39" s="1"/>
  <c r="F4" i="39"/>
  <c r="G4" i="39" s="1"/>
  <c r="H4" i="39" s="1"/>
  <c r="F3" i="39"/>
  <c r="G3" i="39" s="1"/>
  <c r="H3" i="39" s="1"/>
  <c r="F2" i="39"/>
  <c r="G2" i="39" s="1"/>
  <c r="H2" i="39" s="1"/>
  <c r="F16" i="40"/>
  <c r="G16" i="40" s="1"/>
  <c r="H16" i="40" s="1"/>
  <c r="F15" i="40"/>
  <c r="G15" i="40" s="1"/>
  <c r="H15" i="40" s="1"/>
  <c r="F14" i="40"/>
  <c r="G14" i="40" s="1"/>
  <c r="H14" i="40" s="1"/>
  <c r="F13" i="40"/>
  <c r="G13" i="40" s="1"/>
  <c r="H13" i="40" s="1"/>
  <c r="F12" i="40"/>
  <c r="G12" i="40" s="1"/>
  <c r="H12" i="40" s="1"/>
  <c r="F11" i="40"/>
  <c r="G11" i="40" s="1"/>
  <c r="H11" i="40" s="1"/>
  <c r="F10" i="40"/>
  <c r="G10" i="40" s="1"/>
  <c r="H10" i="40" s="1"/>
  <c r="F9" i="40"/>
  <c r="G9" i="40" s="1"/>
  <c r="H9" i="40" s="1"/>
  <c r="F8" i="40"/>
  <c r="G8" i="40" s="1"/>
  <c r="H8" i="40" s="1"/>
  <c r="F7" i="40"/>
  <c r="G7" i="40" s="1"/>
  <c r="H7" i="40" s="1"/>
  <c r="F6" i="40"/>
  <c r="G6" i="40" s="1"/>
  <c r="H6" i="40" s="1"/>
  <c r="F5" i="40"/>
  <c r="G5" i="40" s="1"/>
  <c r="H5" i="40" s="1"/>
  <c r="F4" i="40"/>
  <c r="G4" i="40" s="1"/>
  <c r="H4" i="40" s="1"/>
  <c r="F3" i="40"/>
  <c r="G3" i="40" s="1"/>
  <c r="H3" i="40" s="1"/>
  <c r="F2" i="40"/>
  <c r="G2" i="40" s="1"/>
  <c r="H2" i="40" s="1"/>
  <c r="F16" i="41"/>
  <c r="G16" i="41" s="1"/>
  <c r="H16" i="41" s="1"/>
  <c r="F15" i="41"/>
  <c r="G15" i="41" s="1"/>
  <c r="H15" i="41" s="1"/>
  <c r="F14" i="41"/>
  <c r="G14" i="41" s="1"/>
  <c r="H14" i="41" s="1"/>
  <c r="F13" i="41"/>
  <c r="G13" i="41" s="1"/>
  <c r="H13" i="41" s="1"/>
  <c r="F12" i="41"/>
  <c r="G12" i="41" s="1"/>
  <c r="H12" i="41" s="1"/>
  <c r="F11" i="41"/>
  <c r="G11" i="41" s="1"/>
  <c r="H11" i="41" s="1"/>
  <c r="F10" i="41"/>
  <c r="G10" i="41" s="1"/>
  <c r="H10" i="41" s="1"/>
  <c r="F9" i="41"/>
  <c r="G9" i="41" s="1"/>
  <c r="H9" i="41" s="1"/>
  <c r="F8" i="41"/>
  <c r="G8" i="41" s="1"/>
  <c r="H8" i="41" s="1"/>
  <c r="F7" i="41"/>
  <c r="G7" i="41" s="1"/>
  <c r="H7" i="41" s="1"/>
  <c r="F6" i="41"/>
  <c r="G6" i="41" s="1"/>
  <c r="H6" i="41" s="1"/>
  <c r="F5" i="41"/>
  <c r="G5" i="41" s="1"/>
  <c r="H5" i="41" s="1"/>
  <c r="F4" i="41"/>
  <c r="G4" i="41" s="1"/>
  <c r="H4" i="41" s="1"/>
  <c r="F3" i="41"/>
  <c r="G3" i="41" s="1"/>
  <c r="H3" i="41" s="1"/>
  <c r="F2" i="41"/>
  <c r="G2" i="41" s="1"/>
  <c r="H2" i="41" s="1"/>
  <c r="G14" i="42"/>
  <c r="H14" i="42" s="1"/>
  <c r="F3" i="42"/>
  <c r="G3" i="42" s="1"/>
  <c r="H3" i="42" s="1"/>
  <c r="F4" i="42"/>
  <c r="G4" i="42" s="1"/>
  <c r="H4" i="42" s="1"/>
  <c r="F5" i="42"/>
  <c r="G5" i="42" s="1"/>
  <c r="H5" i="42" s="1"/>
  <c r="F6" i="42"/>
  <c r="G6" i="42" s="1"/>
  <c r="H6" i="42" s="1"/>
  <c r="F7" i="42"/>
  <c r="G7" i="42" s="1"/>
  <c r="H7" i="42" s="1"/>
  <c r="F8" i="42"/>
  <c r="G8" i="42" s="1"/>
  <c r="H8" i="42" s="1"/>
  <c r="F9" i="42"/>
  <c r="G9" i="42" s="1"/>
  <c r="H9" i="42" s="1"/>
  <c r="F10" i="42"/>
  <c r="G10" i="42" s="1"/>
  <c r="H10" i="42" s="1"/>
  <c r="F11" i="42"/>
  <c r="G11" i="42" s="1"/>
  <c r="H11" i="42" s="1"/>
  <c r="F12" i="42"/>
  <c r="G12" i="42" s="1"/>
  <c r="H12" i="42" s="1"/>
  <c r="F13" i="42"/>
  <c r="G13" i="42" s="1"/>
  <c r="H13" i="42" s="1"/>
  <c r="F14" i="42"/>
  <c r="F15" i="42"/>
  <c r="G15" i="42" s="1"/>
  <c r="H15" i="42" s="1"/>
  <c r="F16" i="42"/>
  <c r="G16" i="42" s="1"/>
  <c r="H16" i="42" s="1"/>
  <c r="F2" i="42"/>
  <c r="G2" i="42" s="1"/>
  <c r="H2" i="42" s="1"/>
  <c r="G17" i="42"/>
  <c r="H17" i="42" s="1"/>
  <c r="H17" i="41"/>
  <c r="G17" i="41"/>
  <c r="G17" i="40"/>
  <c r="H17" i="40" s="1"/>
  <c r="H17" i="39"/>
  <c r="G17" i="39"/>
  <c r="G17" i="38"/>
  <c r="H17" i="38" s="1"/>
  <c r="G17" i="37"/>
  <c r="H17" i="37" s="1"/>
</calcChain>
</file>

<file path=xl/sharedStrings.xml><?xml version="1.0" encoding="utf-8"?>
<sst xmlns="http://schemas.openxmlformats.org/spreadsheetml/2006/main" count="177" uniqueCount="32">
  <si>
    <r>
      <rPr>
        <b/>
        <sz val="14"/>
        <rFont val="Calibri"/>
        <family val="1"/>
      </rPr>
      <t>C</t>
    </r>
  </si>
  <si>
    <r>
      <rPr>
        <b/>
        <sz val="14"/>
        <rFont val="Calibri"/>
        <family val="1"/>
      </rPr>
      <t>QUADRILHAS</t>
    </r>
  </si>
  <si>
    <r>
      <rPr>
        <b/>
        <sz val="14"/>
        <rFont val="Calibri"/>
        <family val="1"/>
      </rPr>
      <t>1ª ETAPA</t>
    </r>
  </si>
  <si>
    <r>
      <rPr>
        <b/>
        <sz val="14"/>
        <rFont val="Calibri"/>
        <family val="1"/>
      </rPr>
      <t>2ª ETAPA</t>
    </r>
  </si>
  <si>
    <r>
      <rPr>
        <b/>
        <sz val="14"/>
        <rFont val="Calibri"/>
        <family val="1"/>
      </rPr>
      <t>3ª ETAPA</t>
    </r>
  </si>
  <si>
    <r>
      <rPr>
        <b/>
        <sz val="14"/>
        <rFont val="Calibri"/>
        <family val="1"/>
      </rPr>
      <t>4ª ETAPA</t>
    </r>
  </si>
  <si>
    <r>
      <rPr>
        <b/>
        <sz val="14"/>
        <rFont val="Calibri"/>
        <family val="1"/>
      </rPr>
      <t>TOTAL</t>
    </r>
  </si>
  <si>
    <r>
      <rPr>
        <b/>
        <sz val="14"/>
        <rFont val="Calibri"/>
        <family val="1"/>
      </rPr>
      <t>ARROXA O NÓ*</t>
    </r>
  </si>
  <si>
    <r>
      <rPr>
        <sz val="14"/>
        <rFont val="Calibri"/>
        <family val="1"/>
      </rPr>
      <t>FORMIGA DA ROÇA</t>
    </r>
  </si>
  <si>
    <r>
      <rPr>
        <sz val="14"/>
        <rFont val="Calibri"/>
        <family val="1"/>
      </rPr>
      <t>RIBULIÇO</t>
    </r>
  </si>
  <si>
    <r>
      <rPr>
        <sz val="14"/>
        <rFont val="Calibri"/>
        <family val="1"/>
      </rPr>
      <t>XAMEGAR</t>
    </r>
  </si>
  <si>
    <r>
      <rPr>
        <sz val="14"/>
        <rFont val="Calibri"/>
        <family val="1"/>
      </rPr>
      <t>MALA VÉIA</t>
    </r>
  </si>
  <si>
    <r>
      <rPr>
        <sz val="14"/>
        <rFont val="Calibri"/>
        <family val="1"/>
      </rPr>
      <t>RASGA O FOLE</t>
    </r>
  </si>
  <si>
    <r>
      <rPr>
        <sz val="14"/>
        <rFont val="Calibri"/>
        <family val="1"/>
      </rPr>
      <t>CAIPIRADA</t>
    </r>
  </si>
  <si>
    <r>
      <rPr>
        <sz val="14"/>
        <rFont val="Calibri"/>
        <family val="1"/>
      </rPr>
      <t>EITA BAGACEIRA</t>
    </r>
  </si>
  <si>
    <r>
      <rPr>
        <sz val="14"/>
        <rFont val="Calibri"/>
        <family val="1"/>
      </rPr>
      <t>AMOR JUNINO</t>
    </r>
  </si>
  <si>
    <r>
      <rPr>
        <sz val="14"/>
        <rFont val="Calibri"/>
        <family val="1"/>
      </rPr>
      <t>ARRAIÁ DOS MATUTOS</t>
    </r>
  </si>
  <si>
    <r>
      <rPr>
        <sz val="14"/>
        <rFont val="Calibri"/>
        <family val="1"/>
      </rPr>
      <t>PINGA EM MIM</t>
    </r>
  </si>
  <si>
    <r>
      <rPr>
        <sz val="14"/>
        <rFont val="Calibri"/>
        <family val="1"/>
      </rPr>
      <t>COISAS DA ROÇA</t>
    </r>
  </si>
  <si>
    <r>
      <rPr>
        <sz val="14"/>
        <rFont val="Calibri"/>
        <family val="1"/>
      </rPr>
      <t>FORNALHA</t>
    </r>
  </si>
  <si>
    <r>
      <rPr>
        <sz val="14"/>
        <rFont val="Calibri"/>
        <family val="1"/>
      </rPr>
      <t>XIQUE XIQUE</t>
    </r>
  </si>
  <si>
    <r>
      <rPr>
        <sz val="14"/>
        <rFont val="Calibri"/>
        <family val="1"/>
      </rPr>
      <t>XEM NHEM NHEM</t>
    </r>
  </si>
  <si>
    <r>
      <rPr>
        <sz val="14"/>
        <rFont val="Calibri"/>
        <family val="1"/>
      </rPr>
      <t>ARROXA O NÓ</t>
    </r>
  </si>
  <si>
    <t>TOTAL</t>
  </si>
  <si>
    <t>RIBULIÇO</t>
  </si>
  <si>
    <t>1 ETAPA</t>
  </si>
  <si>
    <t>2 ETAPA</t>
  </si>
  <si>
    <t>3 ETAPA</t>
  </si>
  <si>
    <t>4 ETAPA</t>
  </si>
  <si>
    <t>MEDIA REAL</t>
  </si>
  <si>
    <t>QUADRILHA</t>
  </si>
  <si>
    <t>MÉDIA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</si>
</sst>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>
    <font>
      <sz val="10"/>
      <color rgb="FF000000"/>
      <name val="Times New Roman"/>
      <charset val="204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b/>
      <sz val="14"/>
      <name val="Calibri"/>
      <family val="1"/>
    </font>
    <font>
      <sz val="14"/>
      <name val="Calibri"/>
      <family val="1"/>
    </font>
    <font>
      <sz val="14"/>
      <name val="Calibri"/>
      <family val="2"/>
    </font>
    <font>
      <sz val="14"/>
      <color rgb="FF000000"/>
      <name val="Times New Roman"/>
      <family val="1"/>
    </font>
    <font>
      <b/>
      <sz val="14"/>
      <name val="Calibri"/>
      <family val="2"/>
    </font>
    <font>
      <sz val="8"/>
      <name val="Times New Roman"/>
      <charset val="204"/>
    </font>
    <font>
      <sz val="10"/>
      <color rgb="FF111827"/>
      <name val="Aptos"/>
    </font>
  </fonts>
  <fills count="6">
    <fill>
      <patternFill patternType="none"/>
    </fill>
    <fill>
      <patternFill patternType="gray125"/>
    </fill>
    <fill>
      <patternFill patternType="solid">
        <fgColor rgb="FFD7E4BB"/>
      </patternFill>
    </fill>
    <fill>
      <patternFill patternType="solid">
        <fgColor rgb="FF92D05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DF2D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1">
    <xf numFmtId="0" fontId="0" fillId="0" borderId="0" xfId="0" applyAlignment="1">
      <alignment horizontal="left" vertical="top"/>
    </xf>
    <xf numFmtId="1" fontId="1" fillId="3" borderId="1" xfId="0" applyNumberFormat="1" applyFont="1" applyFill="1" applyBorder="1" applyAlignment="1">
      <alignment horizontal="center" vertical="top" shrinkToFit="1"/>
    </xf>
    <xf numFmtId="164" fontId="1" fillId="3" borderId="1" xfId="0" applyNumberFormat="1" applyFont="1" applyFill="1" applyBorder="1" applyAlignment="1">
      <alignment horizontal="right" vertical="top" shrinkToFit="1"/>
    </xf>
    <xf numFmtId="1" fontId="2" fillId="2" borderId="1" xfId="0" applyNumberFormat="1" applyFont="1" applyFill="1" applyBorder="1" applyAlignment="1">
      <alignment horizontal="center" vertical="top" shrinkToFit="1"/>
    </xf>
    <xf numFmtId="164" fontId="2" fillId="2" borderId="1" xfId="0" applyNumberFormat="1" applyFont="1" applyFill="1" applyBorder="1" applyAlignment="1">
      <alignment horizontal="right" vertical="top" shrinkToFi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right" vertical="top" shrinkToFit="1"/>
    </xf>
    <xf numFmtId="0" fontId="5" fillId="0" borderId="1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 indent="4"/>
    </xf>
    <xf numFmtId="0" fontId="7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left" vertical="top" wrapText="1" indent="2"/>
    </xf>
    <xf numFmtId="0" fontId="7" fillId="3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165" fontId="0" fillId="0" borderId="0" xfId="0" applyNumberFormat="1" applyAlignment="1">
      <alignment horizontal="left" vertical="top"/>
    </xf>
    <xf numFmtId="165" fontId="6" fillId="0" borderId="0" xfId="0" applyNumberFormat="1" applyFont="1" applyAlignment="1">
      <alignment horizontal="left" vertical="top"/>
    </xf>
    <xf numFmtId="164" fontId="9" fillId="4" borderId="2" xfId="0" applyNumberFormat="1" applyFont="1" applyFill="1" applyBorder="1" applyAlignment="1">
      <alignment horizontal="center" vertical="center"/>
    </xf>
    <xf numFmtId="164" fontId="9" fillId="0" borderId="2" xfId="0" applyNumberFormat="1" applyFont="1" applyBorder="1" applyAlignment="1">
      <alignment horizontal="center" vertical="center"/>
    </xf>
    <xf numFmtId="164" fontId="9" fillId="5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C1117-B7BC-4D82-BA47-5C93253BFD86}">
  <dimension ref="A1:J16"/>
  <sheetViews>
    <sheetView tabSelected="1" workbookViewId="0">
      <selection activeCell="J2" sqref="J2"/>
    </sheetView>
  </sheetViews>
  <sheetFormatPr defaultColWidth="34.1640625" defaultRowHeight="12.75"/>
  <cols>
    <col min="1" max="1" width="4.83203125" bestFit="1" customWidth="1"/>
    <col min="2" max="2" width="32.33203125" bestFit="1" customWidth="1"/>
    <col min="3" max="6" width="15.5" bestFit="1" customWidth="1"/>
    <col min="7" max="7" width="13" bestFit="1" customWidth="1"/>
  </cols>
  <sheetData>
    <row r="1" spans="1:10" ht="18.75">
      <c r="A1" s="10" t="s">
        <v>0</v>
      </c>
      <c r="B1" s="11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 t="s">
        <v>6</v>
      </c>
      <c r="J1" t="s">
        <v>31</v>
      </c>
    </row>
    <row r="2" spans="1:10" ht="18.75">
      <c r="A2" s="1">
        <v>1</v>
      </c>
      <c r="B2" s="14" t="s">
        <v>7</v>
      </c>
      <c r="C2" s="4">
        <v>209.6</v>
      </c>
      <c r="D2" s="4">
        <v>209.5</v>
      </c>
      <c r="E2" s="4">
        <v>210</v>
      </c>
      <c r="F2" s="4">
        <v>210</v>
      </c>
      <c r="G2" s="2">
        <f>SUM(C2:F2)</f>
        <v>839.1</v>
      </c>
      <c r="H2" s="16">
        <f t="shared" ref="H2" si="0">G2/4</f>
        <v>209.77500000000001</v>
      </c>
      <c r="I2" s="16">
        <f t="shared" ref="I2" si="1">H2/3</f>
        <v>69.924999999999997</v>
      </c>
      <c r="J2" s="16">
        <f t="shared" ref="J2" si="2">I2/7</f>
        <v>9.9892857142857139</v>
      </c>
    </row>
    <row r="3" spans="1:10" ht="18.75">
      <c r="A3" s="3">
        <v>2</v>
      </c>
      <c r="B3" s="15" t="s">
        <v>8</v>
      </c>
      <c r="C3" s="2">
        <v>209.8</v>
      </c>
      <c r="D3" s="2">
        <v>209.9</v>
      </c>
      <c r="E3" s="2">
        <v>209.8</v>
      </c>
      <c r="F3" s="2">
        <v>209.6</v>
      </c>
      <c r="G3" s="2">
        <f t="shared" ref="G3:G16" si="3">SUM(C3:F3)</f>
        <v>839.1</v>
      </c>
      <c r="H3" s="16">
        <f>G3/4</f>
        <v>209.77500000000001</v>
      </c>
      <c r="I3" s="16">
        <f>H3/3</f>
        <v>69.924999999999997</v>
      </c>
      <c r="J3" s="16">
        <f>I3/7</f>
        <v>9.9892857142857139</v>
      </c>
    </row>
    <row r="4" spans="1:10" ht="18.75">
      <c r="A4" s="3">
        <v>3</v>
      </c>
      <c r="B4" s="15" t="s">
        <v>9</v>
      </c>
      <c r="C4" s="4">
        <v>209.1</v>
      </c>
      <c r="D4" s="4">
        <v>208.5</v>
      </c>
      <c r="E4" s="4">
        <v>209.9</v>
      </c>
      <c r="F4" s="4">
        <v>209.4</v>
      </c>
      <c r="G4" s="2">
        <f t="shared" si="3"/>
        <v>836.9</v>
      </c>
      <c r="H4" s="16">
        <f>G4/4</f>
        <v>209.22499999999999</v>
      </c>
      <c r="I4" s="16">
        <f>H4/3</f>
        <v>69.74166666666666</v>
      </c>
      <c r="J4" s="16">
        <f>I4/7</f>
        <v>9.9630952380952369</v>
      </c>
    </row>
    <row r="5" spans="1:10" ht="18.75">
      <c r="A5" s="5">
        <v>4</v>
      </c>
      <c r="B5" s="7" t="s">
        <v>10</v>
      </c>
      <c r="C5" s="6">
        <v>207.7</v>
      </c>
      <c r="D5" s="6">
        <v>207.9</v>
      </c>
      <c r="E5" s="6">
        <v>209.2</v>
      </c>
      <c r="F5" s="6">
        <v>209.1</v>
      </c>
      <c r="G5" s="2">
        <f t="shared" si="3"/>
        <v>833.9</v>
      </c>
      <c r="H5" s="16">
        <f>G5/4</f>
        <v>208.47499999999999</v>
      </c>
      <c r="I5" s="16">
        <f>H5/3</f>
        <v>69.49166666666666</v>
      </c>
      <c r="J5" s="16">
        <f>I5/7</f>
        <v>9.9273809523809522</v>
      </c>
    </row>
    <row r="6" spans="1:10" ht="18.75">
      <c r="A6" s="5">
        <v>5</v>
      </c>
      <c r="B6" s="7" t="s">
        <v>11</v>
      </c>
      <c r="C6" s="6">
        <v>208.6</v>
      </c>
      <c r="D6" s="6">
        <v>207.1</v>
      </c>
      <c r="E6" s="6">
        <v>208.6</v>
      </c>
      <c r="F6" s="6">
        <v>207.6</v>
      </c>
      <c r="G6" s="2">
        <f t="shared" si="3"/>
        <v>831.9</v>
      </c>
      <c r="H6" s="16">
        <f>G6/4</f>
        <v>207.97499999999999</v>
      </c>
      <c r="I6" s="16">
        <f>H6/3</f>
        <v>69.325000000000003</v>
      </c>
      <c r="J6" s="16">
        <f>I6/7</f>
        <v>9.9035714285714285</v>
      </c>
    </row>
    <row r="7" spans="1:10" ht="18.75">
      <c r="A7" s="5">
        <v>6</v>
      </c>
      <c r="B7" s="7" t="s">
        <v>12</v>
      </c>
      <c r="C7" s="6">
        <v>206.2</v>
      </c>
      <c r="D7" s="6">
        <v>207.6</v>
      </c>
      <c r="E7" s="6">
        <v>209</v>
      </c>
      <c r="F7" s="6">
        <v>209</v>
      </c>
      <c r="G7" s="2">
        <f t="shared" si="3"/>
        <v>831.8</v>
      </c>
      <c r="H7" s="16">
        <f>G7/4</f>
        <v>207.95</v>
      </c>
      <c r="I7" s="16">
        <f>H7/3</f>
        <v>69.316666666666663</v>
      </c>
      <c r="J7" s="16">
        <f>I7/7</f>
        <v>9.9023809523809518</v>
      </c>
    </row>
    <row r="8" spans="1:10" ht="18.75">
      <c r="A8" s="5">
        <v>7</v>
      </c>
      <c r="B8" s="7" t="s">
        <v>13</v>
      </c>
      <c r="C8" s="6">
        <v>205.6</v>
      </c>
      <c r="D8" s="6">
        <v>208.2</v>
      </c>
      <c r="E8" s="6">
        <v>208.5</v>
      </c>
      <c r="F8" s="6">
        <v>209.1</v>
      </c>
      <c r="G8" s="2">
        <f t="shared" si="3"/>
        <v>831.4</v>
      </c>
      <c r="H8" s="16">
        <f>G8/4</f>
        <v>207.85</v>
      </c>
      <c r="I8" s="16">
        <f>H8/3</f>
        <v>69.283333333333331</v>
      </c>
      <c r="J8" s="16">
        <f>I8/7</f>
        <v>9.8976190476190471</v>
      </c>
    </row>
    <row r="9" spans="1:10" ht="18.75">
      <c r="A9" s="5">
        <v>8</v>
      </c>
      <c r="B9" s="7" t="s">
        <v>14</v>
      </c>
      <c r="C9" s="6">
        <v>206.3</v>
      </c>
      <c r="D9" s="6">
        <v>207.6</v>
      </c>
      <c r="E9" s="6">
        <v>207.9</v>
      </c>
      <c r="F9" s="6">
        <v>209.1</v>
      </c>
      <c r="G9" s="2">
        <f t="shared" si="3"/>
        <v>830.9</v>
      </c>
      <c r="H9" s="16">
        <f>G9/4</f>
        <v>207.72499999999999</v>
      </c>
      <c r="I9" s="16">
        <f>H9/3</f>
        <v>69.24166666666666</v>
      </c>
      <c r="J9" s="16">
        <f>I9/7</f>
        <v>9.8916666666666657</v>
      </c>
    </row>
    <row r="10" spans="1:10" ht="18.75">
      <c r="A10" s="5">
        <v>9</v>
      </c>
      <c r="B10" s="7" t="s">
        <v>15</v>
      </c>
      <c r="C10" s="6">
        <v>204</v>
      </c>
      <c r="D10" s="6">
        <v>208.8</v>
      </c>
      <c r="E10" s="6">
        <v>208.8</v>
      </c>
      <c r="F10" s="6">
        <v>209.2</v>
      </c>
      <c r="G10" s="2">
        <f t="shared" si="3"/>
        <v>830.8</v>
      </c>
      <c r="H10" s="16">
        <f>G10/4</f>
        <v>207.7</v>
      </c>
      <c r="I10" s="16">
        <f>H10/3</f>
        <v>69.233333333333334</v>
      </c>
      <c r="J10" s="16">
        <f>I10/7</f>
        <v>9.8904761904761909</v>
      </c>
    </row>
    <row r="11" spans="1:10" ht="18.75">
      <c r="A11" s="5">
        <v>10</v>
      </c>
      <c r="B11" s="7" t="s">
        <v>16</v>
      </c>
      <c r="C11" s="6">
        <v>206.9</v>
      </c>
      <c r="D11" s="6">
        <v>207.7</v>
      </c>
      <c r="E11" s="6">
        <v>208.4</v>
      </c>
      <c r="F11" s="6">
        <v>207.2</v>
      </c>
      <c r="G11" s="2">
        <f t="shared" si="3"/>
        <v>830.2</v>
      </c>
      <c r="H11" s="16">
        <f>G11/4</f>
        <v>207.55</v>
      </c>
      <c r="I11" s="16">
        <f>H11/3</f>
        <v>69.183333333333337</v>
      </c>
      <c r="J11" s="16">
        <f>I11/7</f>
        <v>9.8833333333333346</v>
      </c>
    </row>
    <row r="12" spans="1:10" ht="18.75">
      <c r="A12" s="5">
        <v>11</v>
      </c>
      <c r="B12" s="7" t="s">
        <v>17</v>
      </c>
      <c r="C12" s="6">
        <v>207.7</v>
      </c>
      <c r="D12" s="6">
        <v>206.8</v>
      </c>
      <c r="E12" s="6">
        <v>208.3</v>
      </c>
      <c r="F12" s="6">
        <v>207.1</v>
      </c>
      <c r="G12" s="2">
        <f t="shared" si="3"/>
        <v>829.9</v>
      </c>
      <c r="H12" s="16">
        <f>G12/4</f>
        <v>207.47499999999999</v>
      </c>
      <c r="I12" s="16">
        <f>H12/3</f>
        <v>69.158333333333331</v>
      </c>
      <c r="J12" s="16">
        <f>I12/7</f>
        <v>9.8797619047619047</v>
      </c>
    </row>
    <row r="13" spans="1:10" ht="18.75">
      <c r="A13" s="5">
        <v>12</v>
      </c>
      <c r="B13" s="7" t="s">
        <v>18</v>
      </c>
      <c r="C13" s="6">
        <v>205.1</v>
      </c>
      <c r="D13" s="6">
        <v>208.1</v>
      </c>
      <c r="E13" s="6">
        <v>208.7</v>
      </c>
      <c r="F13" s="6">
        <v>207.7</v>
      </c>
      <c r="G13" s="2">
        <f t="shared" si="3"/>
        <v>829.59999999999991</v>
      </c>
      <c r="H13" s="16">
        <f>G13/4</f>
        <v>207.39999999999998</v>
      </c>
      <c r="I13" s="16">
        <f>H13/3</f>
        <v>69.133333333333326</v>
      </c>
      <c r="J13" s="16">
        <f>I13/7</f>
        <v>9.8761904761904749</v>
      </c>
    </row>
    <row r="14" spans="1:10" ht="18.75">
      <c r="A14" s="5">
        <v>13</v>
      </c>
      <c r="B14" s="7" t="s">
        <v>19</v>
      </c>
      <c r="C14" s="6">
        <v>204.6</v>
      </c>
      <c r="D14" s="6">
        <v>206.9</v>
      </c>
      <c r="E14" s="6">
        <v>207.7</v>
      </c>
      <c r="F14" s="6">
        <v>207.2</v>
      </c>
      <c r="G14" s="2">
        <f t="shared" si="3"/>
        <v>826.40000000000009</v>
      </c>
      <c r="H14" s="16">
        <f>G14/4</f>
        <v>206.60000000000002</v>
      </c>
      <c r="I14" s="16">
        <f>H14/3</f>
        <v>68.866666666666674</v>
      </c>
      <c r="J14" s="16">
        <f>I14/7</f>
        <v>9.8380952380952387</v>
      </c>
    </row>
    <row r="15" spans="1:10" ht="18.75">
      <c r="A15" s="5">
        <v>14</v>
      </c>
      <c r="B15" s="7" t="s">
        <v>20</v>
      </c>
      <c r="C15" s="6">
        <v>203.7</v>
      </c>
      <c r="D15" s="6">
        <v>206</v>
      </c>
      <c r="E15" s="6">
        <v>206.5</v>
      </c>
      <c r="F15" s="6">
        <v>205.9</v>
      </c>
      <c r="G15" s="2">
        <f t="shared" si="3"/>
        <v>822.1</v>
      </c>
      <c r="H15" s="16">
        <f>G15/4</f>
        <v>205.52500000000001</v>
      </c>
      <c r="I15" s="16">
        <f>H15/3</f>
        <v>68.50833333333334</v>
      </c>
      <c r="J15" s="16">
        <f>I15/7</f>
        <v>9.7869047619047631</v>
      </c>
    </row>
    <row r="16" spans="1:10" ht="18.75">
      <c r="A16" s="5">
        <v>15</v>
      </c>
      <c r="B16" s="7" t="s">
        <v>21</v>
      </c>
      <c r="C16" s="6">
        <v>203</v>
      </c>
      <c r="D16" s="6">
        <v>206.7</v>
      </c>
      <c r="E16" s="6">
        <v>204.7</v>
      </c>
      <c r="F16" s="6">
        <v>203.2</v>
      </c>
      <c r="G16" s="2">
        <f t="shared" si="3"/>
        <v>817.59999999999991</v>
      </c>
      <c r="H16" s="16">
        <f>G16/4</f>
        <v>204.39999999999998</v>
      </c>
      <c r="I16" s="16">
        <f>H16/3</f>
        <v>68.133333333333326</v>
      </c>
      <c r="J16" s="16">
        <f>I16/7</f>
        <v>9.7333333333333325</v>
      </c>
    </row>
  </sheetData>
  <sortState xmlns:xlrd2="http://schemas.microsoft.com/office/spreadsheetml/2017/richdata2" ref="A3:J16">
    <sortCondition descending="1" ref="G2:G16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8AFEB-CA3C-4B3F-8F3F-9441392A5F6F}">
  <dimension ref="A1:H17"/>
  <sheetViews>
    <sheetView workbookViewId="0">
      <selection activeCell="G2" sqref="G2"/>
    </sheetView>
  </sheetViews>
  <sheetFormatPr defaultColWidth="27.83203125" defaultRowHeight="18.75"/>
  <cols>
    <col min="1" max="1" width="32.33203125" style="9" bestFit="1" customWidth="1"/>
    <col min="2" max="5" width="14" style="9" bestFit="1" customWidth="1"/>
    <col min="6" max="6" width="11.83203125" style="9" bestFit="1" customWidth="1"/>
    <col min="7" max="7" width="10.5" style="9" bestFit="1" customWidth="1"/>
    <col min="8" max="8" width="20.5" style="9" bestFit="1" customWidth="1"/>
    <col min="9" max="9" width="7.33203125" style="9" bestFit="1" customWidth="1"/>
    <col min="10" max="10" width="27.83203125" style="9" customWidth="1"/>
    <col min="11" max="16384" width="27.83203125" style="9"/>
  </cols>
  <sheetData>
    <row r="1" spans="1:8">
      <c r="A1" s="9" t="s">
        <v>30</v>
      </c>
      <c r="B1" s="9" t="s">
        <v>25</v>
      </c>
      <c r="C1" s="9" t="s">
        <v>26</v>
      </c>
      <c r="D1" s="9" t="s">
        <v>27</v>
      </c>
      <c r="E1" s="9" t="s">
        <v>28</v>
      </c>
      <c r="F1" s="9" t="s">
        <v>23</v>
      </c>
      <c r="H1" s="9" t="s">
        <v>29</v>
      </c>
    </row>
    <row r="2" spans="1:8">
      <c r="A2" s="7" t="s">
        <v>15</v>
      </c>
      <c r="B2" s="18">
        <v>29.1</v>
      </c>
      <c r="C2" s="18">
        <v>29.6</v>
      </c>
      <c r="D2" s="18">
        <v>29.4</v>
      </c>
      <c r="E2" s="18">
        <v>29.7</v>
      </c>
      <c r="F2" s="17">
        <f>SUM(B2:E2)</f>
        <v>117.8</v>
      </c>
      <c r="G2">
        <f t="shared" ref="G2:G17" si="0">F2/COUNTIF(B2:E2,"&lt;&gt;0")</f>
        <v>29.45</v>
      </c>
      <c r="H2">
        <f t="shared" ref="H2:H17" si="1">G2/3</f>
        <v>9.8166666666666664</v>
      </c>
    </row>
    <row r="3" spans="1:8">
      <c r="A3" s="7" t="s">
        <v>16</v>
      </c>
      <c r="B3" s="19">
        <v>29.6</v>
      </c>
      <c r="C3" s="19">
        <v>29.4</v>
      </c>
      <c r="D3" s="19">
        <v>29.6</v>
      </c>
      <c r="E3" s="19">
        <v>29.4</v>
      </c>
      <c r="F3" s="17">
        <f t="shared" ref="F3:F16" si="2">SUM(B3:E3)</f>
        <v>118</v>
      </c>
      <c r="G3">
        <f t="shared" si="0"/>
        <v>29.5</v>
      </c>
      <c r="H3">
        <f t="shared" si="1"/>
        <v>9.8333333333333339</v>
      </c>
    </row>
    <row r="4" spans="1:8">
      <c r="A4" s="7" t="s">
        <v>22</v>
      </c>
      <c r="B4" s="20">
        <v>29.8</v>
      </c>
      <c r="C4" s="20">
        <v>29.6</v>
      </c>
      <c r="D4" s="20">
        <v>30</v>
      </c>
      <c r="E4" s="20">
        <v>30</v>
      </c>
      <c r="F4" s="17">
        <f t="shared" si="2"/>
        <v>119.4</v>
      </c>
      <c r="G4">
        <f t="shared" si="0"/>
        <v>29.85</v>
      </c>
      <c r="H4">
        <f t="shared" si="1"/>
        <v>9.9500000000000011</v>
      </c>
    </row>
    <row r="5" spans="1:8">
      <c r="A5" s="7" t="s">
        <v>13</v>
      </c>
      <c r="B5" s="19">
        <v>29.3</v>
      </c>
      <c r="C5" s="19">
        <v>29.6</v>
      </c>
      <c r="D5" s="19">
        <v>29.4</v>
      </c>
      <c r="E5" s="19">
        <v>29.4</v>
      </c>
      <c r="F5" s="17">
        <f t="shared" si="2"/>
        <v>117.70000000000002</v>
      </c>
      <c r="G5">
        <f t="shared" si="0"/>
        <v>29.425000000000004</v>
      </c>
      <c r="H5">
        <f t="shared" si="1"/>
        <v>9.8083333333333353</v>
      </c>
    </row>
    <row r="6" spans="1:8">
      <c r="A6" s="7" t="s">
        <v>18</v>
      </c>
      <c r="B6" s="18">
        <v>29</v>
      </c>
      <c r="C6" s="18">
        <v>29.2</v>
      </c>
      <c r="D6" s="18">
        <v>29.4</v>
      </c>
      <c r="E6" s="18">
        <v>29.2</v>
      </c>
      <c r="F6" s="17">
        <f t="shared" si="2"/>
        <v>116.8</v>
      </c>
      <c r="G6">
        <f t="shared" si="0"/>
        <v>29.2</v>
      </c>
      <c r="H6">
        <f t="shared" si="1"/>
        <v>9.7333333333333325</v>
      </c>
    </row>
    <row r="7" spans="1:8">
      <c r="A7" s="7" t="s">
        <v>14</v>
      </c>
      <c r="B7" s="19">
        <v>29.2</v>
      </c>
      <c r="C7" s="19">
        <v>29.2</v>
      </c>
      <c r="D7" s="19">
        <v>29.4</v>
      </c>
      <c r="E7" s="19">
        <v>29.7</v>
      </c>
      <c r="F7" s="17">
        <f t="shared" si="2"/>
        <v>117.5</v>
      </c>
      <c r="G7">
        <f t="shared" si="0"/>
        <v>29.375</v>
      </c>
      <c r="H7">
        <f t="shared" si="1"/>
        <v>9.7916666666666661</v>
      </c>
    </row>
    <row r="8" spans="1:8">
      <c r="A8" s="7" t="s">
        <v>8</v>
      </c>
      <c r="B8" s="20">
        <v>29.8</v>
      </c>
      <c r="C8" s="20">
        <v>29.9</v>
      </c>
      <c r="D8" s="20">
        <v>30</v>
      </c>
      <c r="E8" s="20">
        <v>29.7</v>
      </c>
      <c r="F8" s="17">
        <f t="shared" si="2"/>
        <v>119.4</v>
      </c>
      <c r="G8">
        <f t="shared" si="0"/>
        <v>29.85</v>
      </c>
      <c r="H8">
        <f t="shared" si="1"/>
        <v>9.9500000000000011</v>
      </c>
    </row>
    <row r="9" spans="1:8">
      <c r="A9" s="7" t="s">
        <v>19</v>
      </c>
      <c r="B9" s="19">
        <v>29</v>
      </c>
      <c r="C9" s="19">
        <v>29.3</v>
      </c>
      <c r="D9" s="19">
        <v>29.5</v>
      </c>
      <c r="E9" s="19">
        <v>29.3</v>
      </c>
      <c r="F9" s="17">
        <f t="shared" si="2"/>
        <v>117.1</v>
      </c>
      <c r="G9">
        <f t="shared" si="0"/>
        <v>29.274999999999999</v>
      </c>
      <c r="H9">
        <f t="shared" si="1"/>
        <v>9.7583333333333329</v>
      </c>
    </row>
    <row r="10" spans="1:8">
      <c r="A10" s="7" t="s">
        <v>11</v>
      </c>
      <c r="B10" s="18">
        <v>29.6</v>
      </c>
      <c r="C10" s="18">
        <v>29.4</v>
      </c>
      <c r="D10" s="18">
        <v>29.5</v>
      </c>
      <c r="E10" s="18">
        <v>29.2</v>
      </c>
      <c r="F10" s="17">
        <f t="shared" si="2"/>
        <v>117.7</v>
      </c>
      <c r="G10">
        <f t="shared" si="0"/>
        <v>29.425000000000001</v>
      </c>
      <c r="H10">
        <f t="shared" si="1"/>
        <v>9.8083333333333336</v>
      </c>
    </row>
    <row r="11" spans="1:8">
      <c r="A11" s="7" t="s">
        <v>17</v>
      </c>
      <c r="B11" s="19">
        <v>29.5</v>
      </c>
      <c r="C11" s="19">
        <v>29.3</v>
      </c>
      <c r="D11" s="19">
        <v>29.3</v>
      </c>
      <c r="E11" s="19">
        <v>29.2</v>
      </c>
      <c r="F11" s="17">
        <f t="shared" si="2"/>
        <v>117.3</v>
      </c>
      <c r="G11">
        <f t="shared" si="0"/>
        <v>29.324999999999999</v>
      </c>
      <c r="H11">
        <f t="shared" si="1"/>
        <v>9.7750000000000004</v>
      </c>
    </row>
    <row r="12" spans="1:8">
      <c r="A12" s="7" t="s">
        <v>12</v>
      </c>
      <c r="B12" s="18">
        <v>29.3</v>
      </c>
      <c r="C12" s="18">
        <v>29.4</v>
      </c>
      <c r="D12" s="18">
        <v>29.8</v>
      </c>
      <c r="E12" s="18">
        <v>29.5</v>
      </c>
      <c r="F12" s="17">
        <f t="shared" si="2"/>
        <v>118</v>
      </c>
      <c r="G12">
        <f t="shared" si="0"/>
        <v>29.5</v>
      </c>
      <c r="H12">
        <f t="shared" si="1"/>
        <v>9.8333333333333339</v>
      </c>
    </row>
    <row r="13" spans="1:8">
      <c r="A13" s="7" t="s">
        <v>24</v>
      </c>
      <c r="B13" s="20">
        <v>29.5</v>
      </c>
      <c r="C13" s="20">
        <v>29.4</v>
      </c>
      <c r="D13" s="20">
        <v>29.9</v>
      </c>
      <c r="E13" s="20">
        <v>29.7</v>
      </c>
      <c r="F13" s="17">
        <f t="shared" si="2"/>
        <v>118.5</v>
      </c>
      <c r="G13">
        <f t="shared" si="0"/>
        <v>29.625</v>
      </c>
      <c r="H13">
        <f t="shared" si="1"/>
        <v>9.875</v>
      </c>
    </row>
    <row r="14" spans="1:8">
      <c r="A14" s="7" t="s">
        <v>10</v>
      </c>
      <c r="B14" s="18">
        <v>29.5</v>
      </c>
      <c r="C14" s="18">
        <v>29.5</v>
      </c>
      <c r="D14" s="18">
        <v>29.7</v>
      </c>
      <c r="E14" s="18">
        <v>29.6</v>
      </c>
      <c r="F14" s="17">
        <f t="shared" si="2"/>
        <v>118.30000000000001</v>
      </c>
      <c r="G14">
        <f t="shared" si="0"/>
        <v>29.575000000000003</v>
      </c>
      <c r="H14">
        <f t="shared" si="1"/>
        <v>9.8583333333333343</v>
      </c>
    </row>
    <row r="15" spans="1:8">
      <c r="A15" s="7" t="s">
        <v>21</v>
      </c>
      <c r="B15" s="19">
        <v>28.9</v>
      </c>
      <c r="C15" s="19">
        <v>29.3</v>
      </c>
      <c r="D15" s="19">
        <v>29.1</v>
      </c>
      <c r="E15" s="19">
        <v>28.8</v>
      </c>
      <c r="F15" s="17">
        <f t="shared" si="2"/>
        <v>116.10000000000001</v>
      </c>
      <c r="G15">
        <f t="shared" si="0"/>
        <v>29.025000000000002</v>
      </c>
      <c r="H15">
        <f t="shared" si="1"/>
        <v>9.6750000000000007</v>
      </c>
    </row>
    <row r="16" spans="1:8">
      <c r="A16" s="7" t="s">
        <v>20</v>
      </c>
      <c r="B16" s="18">
        <v>28.8</v>
      </c>
      <c r="C16" s="18">
        <v>29.2</v>
      </c>
      <c r="D16" s="18">
        <v>29.2</v>
      </c>
      <c r="E16" s="18">
        <v>28.8</v>
      </c>
      <c r="F16" s="17">
        <f t="shared" si="2"/>
        <v>116</v>
      </c>
      <c r="G16">
        <f t="shared" si="0"/>
        <v>29</v>
      </c>
      <c r="H16">
        <f t="shared" si="1"/>
        <v>9.6666666666666661</v>
      </c>
    </row>
    <row r="17" spans="1:8">
      <c r="A17" s="8"/>
      <c r="G17">
        <f t="shared" si="0"/>
        <v>0</v>
      </c>
      <c r="H17">
        <f t="shared" si="1"/>
        <v>0</v>
      </c>
    </row>
  </sheetData>
  <phoneticPr fontId="8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ACF01-FA3C-4E6D-AB91-6D65661F3A7E}">
  <dimension ref="A1:H17"/>
  <sheetViews>
    <sheetView workbookViewId="0">
      <selection activeCell="B2" sqref="B2:E16"/>
    </sheetView>
  </sheetViews>
  <sheetFormatPr defaultColWidth="27.83203125" defaultRowHeight="18.75"/>
  <cols>
    <col min="1" max="1" width="32.33203125" style="9" bestFit="1" customWidth="1"/>
    <col min="2" max="5" width="14" style="9" bestFit="1" customWidth="1"/>
    <col min="6" max="6" width="11.83203125" style="9" bestFit="1" customWidth="1"/>
    <col min="7" max="7" width="10.5" style="9" bestFit="1" customWidth="1"/>
    <col min="8" max="8" width="20.5" style="9" bestFit="1" customWidth="1"/>
    <col min="9" max="9" width="7.33203125" style="9" bestFit="1" customWidth="1"/>
    <col min="10" max="16384" width="27.83203125" style="9"/>
  </cols>
  <sheetData>
    <row r="1" spans="1:8">
      <c r="A1" s="9" t="s">
        <v>30</v>
      </c>
      <c r="B1" s="9" t="s">
        <v>25</v>
      </c>
      <c r="C1" s="9" t="s">
        <v>26</v>
      </c>
      <c r="D1" s="9" t="s">
        <v>27</v>
      </c>
      <c r="E1" s="9" t="s">
        <v>28</v>
      </c>
      <c r="F1" s="9" t="s">
        <v>23</v>
      </c>
      <c r="H1" s="9" t="s">
        <v>29</v>
      </c>
    </row>
    <row r="2" spans="1:8">
      <c r="A2" s="7" t="s">
        <v>15</v>
      </c>
      <c r="B2" s="18">
        <v>29.1</v>
      </c>
      <c r="C2" s="18">
        <v>29.7</v>
      </c>
      <c r="D2" s="18">
        <v>30</v>
      </c>
      <c r="E2" s="18">
        <v>29.9</v>
      </c>
      <c r="F2" s="17">
        <f>SUM(B2:E2)</f>
        <v>118.69999999999999</v>
      </c>
      <c r="G2">
        <f t="shared" ref="G2:G17" si="0">F2/COUNTIF(B2:E2,"&lt;&gt;0")</f>
        <v>29.674999999999997</v>
      </c>
      <c r="H2">
        <f t="shared" ref="H2:H17" si="1">G2/3</f>
        <v>9.8916666666666657</v>
      </c>
    </row>
    <row r="3" spans="1:8">
      <c r="A3" s="7" t="s">
        <v>16</v>
      </c>
      <c r="B3" s="19">
        <v>29.3</v>
      </c>
      <c r="C3" s="19">
        <v>29.5</v>
      </c>
      <c r="D3" s="19">
        <v>29.7</v>
      </c>
      <c r="E3" s="19">
        <v>29.4</v>
      </c>
      <c r="F3" s="17">
        <f t="shared" ref="F3:F16" si="2">SUM(B3:E3)</f>
        <v>117.9</v>
      </c>
      <c r="G3">
        <f t="shared" si="0"/>
        <v>29.475000000000001</v>
      </c>
      <c r="H3">
        <f t="shared" si="1"/>
        <v>9.8250000000000011</v>
      </c>
    </row>
    <row r="4" spans="1:8">
      <c r="A4" s="7" t="s">
        <v>22</v>
      </c>
      <c r="B4" s="20">
        <v>29.9</v>
      </c>
      <c r="C4" s="20">
        <v>30</v>
      </c>
      <c r="D4" s="20">
        <v>30</v>
      </c>
      <c r="E4" s="20">
        <v>30</v>
      </c>
      <c r="F4" s="17">
        <f t="shared" si="2"/>
        <v>119.9</v>
      </c>
      <c r="G4">
        <f t="shared" si="0"/>
        <v>29.975000000000001</v>
      </c>
      <c r="H4">
        <f t="shared" si="1"/>
        <v>9.9916666666666671</v>
      </c>
    </row>
    <row r="5" spans="1:8">
      <c r="A5" s="7" t="s">
        <v>13</v>
      </c>
      <c r="B5" s="19">
        <v>29.5</v>
      </c>
      <c r="C5" s="19">
        <v>29.6</v>
      </c>
      <c r="D5" s="19">
        <v>29.9</v>
      </c>
      <c r="E5" s="19">
        <v>30</v>
      </c>
      <c r="F5" s="17">
        <f t="shared" si="2"/>
        <v>119</v>
      </c>
      <c r="G5">
        <f t="shared" si="0"/>
        <v>29.75</v>
      </c>
      <c r="H5">
        <f t="shared" si="1"/>
        <v>9.9166666666666661</v>
      </c>
    </row>
    <row r="6" spans="1:8">
      <c r="A6" s="7" t="s">
        <v>18</v>
      </c>
      <c r="B6" s="18">
        <v>29.5</v>
      </c>
      <c r="C6" s="18">
        <v>29.8</v>
      </c>
      <c r="D6" s="18">
        <v>29.8</v>
      </c>
      <c r="E6" s="18">
        <v>29.9</v>
      </c>
      <c r="F6" s="17">
        <f t="shared" si="2"/>
        <v>119</v>
      </c>
      <c r="G6">
        <f t="shared" si="0"/>
        <v>29.75</v>
      </c>
      <c r="H6">
        <f t="shared" si="1"/>
        <v>9.9166666666666661</v>
      </c>
    </row>
    <row r="7" spans="1:8">
      <c r="A7" s="7" t="s">
        <v>14</v>
      </c>
      <c r="B7" s="19">
        <v>29.7</v>
      </c>
      <c r="C7" s="19">
        <v>29.9</v>
      </c>
      <c r="D7" s="19">
        <v>29.7</v>
      </c>
      <c r="E7" s="19">
        <v>30</v>
      </c>
      <c r="F7" s="17">
        <f t="shared" si="2"/>
        <v>119.3</v>
      </c>
      <c r="G7">
        <f t="shared" si="0"/>
        <v>29.824999999999999</v>
      </c>
      <c r="H7">
        <f t="shared" si="1"/>
        <v>9.9416666666666664</v>
      </c>
    </row>
    <row r="8" spans="1:8">
      <c r="A8" s="7" t="s">
        <v>8</v>
      </c>
      <c r="B8" s="20">
        <v>30</v>
      </c>
      <c r="C8" s="20">
        <v>30</v>
      </c>
      <c r="D8" s="20">
        <v>29.8</v>
      </c>
      <c r="E8" s="20">
        <v>30</v>
      </c>
      <c r="F8" s="17">
        <f t="shared" si="2"/>
        <v>119.8</v>
      </c>
      <c r="G8">
        <f t="shared" si="0"/>
        <v>29.95</v>
      </c>
      <c r="H8">
        <f t="shared" si="1"/>
        <v>9.9833333333333325</v>
      </c>
    </row>
    <row r="9" spans="1:8">
      <c r="A9" s="7" t="s">
        <v>19</v>
      </c>
      <c r="B9" s="19">
        <v>29.3</v>
      </c>
      <c r="C9" s="19">
        <v>29.4</v>
      </c>
      <c r="D9" s="19">
        <v>29.7</v>
      </c>
      <c r="E9" s="19">
        <v>29.8</v>
      </c>
      <c r="F9" s="17">
        <f t="shared" si="2"/>
        <v>118.2</v>
      </c>
      <c r="G9">
        <f t="shared" si="0"/>
        <v>29.55</v>
      </c>
      <c r="H9">
        <f t="shared" si="1"/>
        <v>9.85</v>
      </c>
    </row>
    <row r="10" spans="1:8">
      <c r="A10" s="7" t="s">
        <v>11</v>
      </c>
      <c r="B10" s="18">
        <v>29.6</v>
      </c>
      <c r="C10" s="18">
        <v>29.4</v>
      </c>
      <c r="D10" s="18">
        <v>29.5</v>
      </c>
      <c r="E10" s="18">
        <v>29.6</v>
      </c>
      <c r="F10" s="17">
        <f t="shared" si="2"/>
        <v>118.1</v>
      </c>
      <c r="G10">
        <f t="shared" si="0"/>
        <v>29.524999999999999</v>
      </c>
      <c r="H10">
        <f t="shared" si="1"/>
        <v>9.8416666666666668</v>
      </c>
    </row>
    <row r="11" spans="1:8">
      <c r="A11" s="7" t="s">
        <v>17</v>
      </c>
      <c r="B11" s="19">
        <v>29.5</v>
      </c>
      <c r="C11" s="19">
        <v>29.3</v>
      </c>
      <c r="D11" s="19">
        <v>29.6</v>
      </c>
      <c r="E11" s="19">
        <v>29.4</v>
      </c>
      <c r="F11" s="17">
        <f t="shared" si="2"/>
        <v>117.80000000000001</v>
      </c>
      <c r="G11">
        <f t="shared" si="0"/>
        <v>29.450000000000003</v>
      </c>
      <c r="H11">
        <f t="shared" si="1"/>
        <v>9.8166666666666682</v>
      </c>
    </row>
    <row r="12" spans="1:8">
      <c r="A12" s="7" t="s">
        <v>12</v>
      </c>
      <c r="B12" s="18">
        <v>29.5</v>
      </c>
      <c r="C12" s="18">
        <v>29.8</v>
      </c>
      <c r="D12" s="18">
        <v>29.7</v>
      </c>
      <c r="E12" s="18">
        <v>30</v>
      </c>
      <c r="F12" s="17">
        <f t="shared" si="2"/>
        <v>119</v>
      </c>
      <c r="G12">
        <f t="shared" si="0"/>
        <v>29.75</v>
      </c>
      <c r="H12">
        <f t="shared" si="1"/>
        <v>9.9166666666666661</v>
      </c>
    </row>
    <row r="13" spans="1:8">
      <c r="A13" s="7" t="s">
        <v>24</v>
      </c>
      <c r="B13" s="20">
        <v>30</v>
      </c>
      <c r="C13" s="20">
        <v>29.8</v>
      </c>
      <c r="D13" s="20">
        <v>30</v>
      </c>
      <c r="E13" s="20">
        <v>29.9</v>
      </c>
      <c r="F13" s="17">
        <f t="shared" si="2"/>
        <v>119.69999999999999</v>
      </c>
      <c r="G13">
        <f t="shared" si="0"/>
        <v>29.924999999999997</v>
      </c>
      <c r="H13">
        <f t="shared" si="1"/>
        <v>9.9749999999999996</v>
      </c>
    </row>
    <row r="14" spans="1:8">
      <c r="A14" s="7" t="s">
        <v>10</v>
      </c>
      <c r="B14" s="18">
        <v>29.6</v>
      </c>
      <c r="C14" s="18">
        <v>29.6</v>
      </c>
      <c r="D14" s="18">
        <v>29.7</v>
      </c>
      <c r="E14" s="18">
        <v>29.9</v>
      </c>
      <c r="F14" s="17">
        <f t="shared" si="2"/>
        <v>118.80000000000001</v>
      </c>
      <c r="G14">
        <f t="shared" si="0"/>
        <v>29.700000000000003</v>
      </c>
      <c r="H14">
        <f t="shared" si="1"/>
        <v>9.9</v>
      </c>
    </row>
    <row r="15" spans="1:8">
      <c r="A15" s="7" t="s">
        <v>21</v>
      </c>
      <c r="B15" s="19">
        <v>28.7</v>
      </c>
      <c r="C15" s="19">
        <v>29.2</v>
      </c>
      <c r="D15" s="19">
        <v>29.2</v>
      </c>
      <c r="E15" s="19">
        <v>28.7</v>
      </c>
      <c r="F15" s="17">
        <f t="shared" si="2"/>
        <v>115.8</v>
      </c>
      <c r="G15">
        <f t="shared" si="0"/>
        <v>28.95</v>
      </c>
      <c r="H15">
        <f t="shared" si="1"/>
        <v>9.65</v>
      </c>
    </row>
    <row r="16" spans="1:8">
      <c r="A16" s="7" t="s">
        <v>20</v>
      </c>
      <c r="B16" s="18">
        <v>29</v>
      </c>
      <c r="C16" s="18">
        <v>29.4</v>
      </c>
      <c r="D16" s="18">
        <v>29.5</v>
      </c>
      <c r="E16" s="18">
        <v>29.7</v>
      </c>
      <c r="F16" s="17">
        <f t="shared" si="2"/>
        <v>117.60000000000001</v>
      </c>
      <c r="G16">
        <f t="shared" si="0"/>
        <v>29.400000000000002</v>
      </c>
      <c r="H16">
        <f t="shared" si="1"/>
        <v>9.8000000000000007</v>
      </c>
    </row>
    <row r="17" spans="1:8">
      <c r="A17" s="8"/>
      <c r="G17">
        <f t="shared" si="0"/>
        <v>0</v>
      </c>
      <c r="H17">
        <f t="shared" si="1"/>
        <v>0</v>
      </c>
    </row>
  </sheetData>
  <phoneticPr fontId="8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1DAB5-5CE4-42DC-A3A0-ED381D6BFA66}">
  <dimension ref="A1:H17"/>
  <sheetViews>
    <sheetView workbookViewId="0">
      <selection activeCell="B2" sqref="B2:E16"/>
    </sheetView>
  </sheetViews>
  <sheetFormatPr defaultColWidth="27.83203125" defaultRowHeight="18.75"/>
  <cols>
    <col min="1" max="1" width="32.33203125" style="9" bestFit="1" customWidth="1"/>
    <col min="2" max="5" width="14" style="9" bestFit="1" customWidth="1"/>
    <col min="6" max="6" width="11.83203125" style="9" bestFit="1" customWidth="1"/>
    <col min="7" max="7" width="10.5" style="9" bestFit="1" customWidth="1"/>
    <col min="8" max="8" width="20.5" style="9" bestFit="1" customWidth="1"/>
    <col min="9" max="9" width="7.33203125" style="9" bestFit="1" customWidth="1"/>
    <col min="10" max="16384" width="27.83203125" style="9"/>
  </cols>
  <sheetData>
    <row r="1" spans="1:8">
      <c r="A1" s="9" t="s">
        <v>30</v>
      </c>
      <c r="B1" s="9" t="s">
        <v>25</v>
      </c>
      <c r="C1" s="9" t="s">
        <v>26</v>
      </c>
      <c r="D1" s="9" t="s">
        <v>27</v>
      </c>
      <c r="E1" s="9" t="s">
        <v>28</v>
      </c>
      <c r="F1" s="9" t="s">
        <v>23</v>
      </c>
      <c r="H1" s="9" t="s">
        <v>29</v>
      </c>
    </row>
    <row r="2" spans="1:8">
      <c r="A2" s="7" t="s">
        <v>15</v>
      </c>
      <c r="B2" s="18">
        <v>29</v>
      </c>
      <c r="C2" s="18">
        <v>29.9</v>
      </c>
      <c r="D2" s="18">
        <v>29.8</v>
      </c>
      <c r="E2" s="18">
        <v>30</v>
      </c>
      <c r="F2" s="17">
        <f>SUM(B2:E2)</f>
        <v>118.7</v>
      </c>
      <c r="G2">
        <f t="shared" ref="G2:G17" si="0">F2/COUNTIF(B2:E2,"&lt;&gt;0")</f>
        <v>29.675000000000001</v>
      </c>
      <c r="H2">
        <f t="shared" ref="H2:H17" si="1">G2/3</f>
        <v>9.8916666666666675</v>
      </c>
    </row>
    <row r="3" spans="1:8">
      <c r="A3" s="7" t="s">
        <v>16</v>
      </c>
      <c r="B3" s="19">
        <v>29.5</v>
      </c>
      <c r="C3" s="19">
        <v>29.6</v>
      </c>
      <c r="D3" s="19">
        <v>30</v>
      </c>
      <c r="E3" s="19">
        <v>29.9</v>
      </c>
      <c r="F3" s="17">
        <f t="shared" ref="F3:F16" si="2">SUM(B3:E3)</f>
        <v>119</v>
      </c>
      <c r="G3">
        <f t="shared" si="0"/>
        <v>29.75</v>
      </c>
      <c r="H3">
        <f t="shared" si="1"/>
        <v>9.9166666666666661</v>
      </c>
    </row>
    <row r="4" spans="1:8">
      <c r="A4" s="7" t="s">
        <v>22</v>
      </c>
      <c r="B4" s="20">
        <v>30</v>
      </c>
      <c r="C4" s="20">
        <v>30</v>
      </c>
      <c r="D4" s="20">
        <v>30</v>
      </c>
      <c r="E4" s="20">
        <v>30</v>
      </c>
      <c r="F4" s="17">
        <f t="shared" si="2"/>
        <v>120</v>
      </c>
      <c r="G4">
        <f t="shared" si="0"/>
        <v>30</v>
      </c>
      <c r="H4">
        <f t="shared" si="1"/>
        <v>10</v>
      </c>
    </row>
    <row r="5" spans="1:8">
      <c r="A5" s="7" t="s">
        <v>13</v>
      </c>
      <c r="B5" s="19">
        <v>29.5</v>
      </c>
      <c r="C5" s="19">
        <v>29.8</v>
      </c>
      <c r="D5" s="19">
        <v>29.5</v>
      </c>
      <c r="E5" s="19">
        <v>30</v>
      </c>
      <c r="F5" s="17">
        <f t="shared" si="2"/>
        <v>118.8</v>
      </c>
      <c r="G5">
        <f t="shared" si="0"/>
        <v>29.7</v>
      </c>
      <c r="H5">
        <f t="shared" si="1"/>
        <v>9.9</v>
      </c>
    </row>
    <row r="6" spans="1:8">
      <c r="A6" s="7" t="s">
        <v>18</v>
      </c>
      <c r="B6" s="18">
        <v>29.1</v>
      </c>
      <c r="C6" s="18">
        <v>29.5</v>
      </c>
      <c r="D6" s="18">
        <v>29.8</v>
      </c>
      <c r="E6" s="18">
        <v>29.4</v>
      </c>
      <c r="F6" s="17">
        <f t="shared" si="2"/>
        <v>117.80000000000001</v>
      </c>
      <c r="G6">
        <f t="shared" si="0"/>
        <v>29.450000000000003</v>
      </c>
      <c r="H6">
        <f t="shared" si="1"/>
        <v>9.8166666666666682</v>
      </c>
    </row>
    <row r="7" spans="1:8">
      <c r="A7" s="7" t="s">
        <v>14</v>
      </c>
      <c r="B7" s="19">
        <v>29.1</v>
      </c>
      <c r="C7" s="19">
        <v>29.4</v>
      </c>
      <c r="D7" s="19">
        <v>29.9</v>
      </c>
      <c r="E7" s="19">
        <v>29.7</v>
      </c>
      <c r="F7" s="17">
        <f t="shared" si="2"/>
        <v>118.10000000000001</v>
      </c>
      <c r="G7">
        <f t="shared" si="0"/>
        <v>29.525000000000002</v>
      </c>
      <c r="H7">
        <f t="shared" si="1"/>
        <v>9.8416666666666668</v>
      </c>
    </row>
    <row r="8" spans="1:8">
      <c r="A8" s="7" t="s">
        <v>8</v>
      </c>
      <c r="B8" s="20">
        <v>30</v>
      </c>
      <c r="C8" s="20">
        <v>30</v>
      </c>
      <c r="D8" s="20">
        <v>30</v>
      </c>
      <c r="E8" s="20">
        <v>30</v>
      </c>
      <c r="F8" s="17">
        <f t="shared" si="2"/>
        <v>120</v>
      </c>
      <c r="G8">
        <f t="shared" si="0"/>
        <v>30</v>
      </c>
      <c r="H8">
        <f t="shared" si="1"/>
        <v>10</v>
      </c>
    </row>
    <row r="9" spans="1:8">
      <c r="A9" s="7" t="s">
        <v>19</v>
      </c>
      <c r="B9" s="19">
        <v>29.1</v>
      </c>
      <c r="C9" s="19">
        <v>29.5</v>
      </c>
      <c r="D9" s="19">
        <v>29.8</v>
      </c>
      <c r="E9" s="19">
        <v>29.6</v>
      </c>
      <c r="F9" s="17">
        <f t="shared" si="2"/>
        <v>118</v>
      </c>
      <c r="G9">
        <f t="shared" si="0"/>
        <v>29.5</v>
      </c>
      <c r="H9">
        <f t="shared" si="1"/>
        <v>9.8333333333333339</v>
      </c>
    </row>
    <row r="10" spans="1:8">
      <c r="A10" s="7" t="s">
        <v>11</v>
      </c>
      <c r="B10" s="18">
        <v>29.9</v>
      </c>
      <c r="C10" s="18">
        <v>29.6</v>
      </c>
      <c r="D10" s="18">
        <v>29.7</v>
      </c>
      <c r="E10" s="18">
        <v>29.5</v>
      </c>
      <c r="F10" s="17">
        <f t="shared" si="2"/>
        <v>118.7</v>
      </c>
      <c r="G10">
        <f t="shared" si="0"/>
        <v>29.675000000000001</v>
      </c>
      <c r="H10">
        <f t="shared" si="1"/>
        <v>9.8916666666666675</v>
      </c>
    </row>
    <row r="11" spans="1:8">
      <c r="A11" s="7" t="s">
        <v>17</v>
      </c>
      <c r="B11" s="19">
        <v>29.6</v>
      </c>
      <c r="C11" s="19">
        <v>29.6</v>
      </c>
      <c r="D11" s="19">
        <v>29.9</v>
      </c>
      <c r="E11" s="19">
        <v>29.6</v>
      </c>
      <c r="F11" s="17">
        <f t="shared" si="2"/>
        <v>118.69999999999999</v>
      </c>
      <c r="G11">
        <f t="shared" si="0"/>
        <v>29.674999999999997</v>
      </c>
      <c r="H11">
        <f t="shared" si="1"/>
        <v>9.8916666666666657</v>
      </c>
    </row>
    <row r="12" spans="1:8">
      <c r="A12" s="7" t="s">
        <v>12</v>
      </c>
      <c r="B12" s="18">
        <v>29.3</v>
      </c>
      <c r="C12" s="18">
        <v>29.5</v>
      </c>
      <c r="D12" s="18">
        <v>30</v>
      </c>
      <c r="E12" s="18">
        <v>29.9</v>
      </c>
      <c r="F12" s="17">
        <f t="shared" si="2"/>
        <v>118.69999999999999</v>
      </c>
      <c r="G12">
        <f t="shared" si="0"/>
        <v>29.674999999999997</v>
      </c>
      <c r="H12">
        <f t="shared" si="1"/>
        <v>9.8916666666666657</v>
      </c>
    </row>
    <row r="13" spans="1:8">
      <c r="A13" s="7" t="s">
        <v>24</v>
      </c>
      <c r="B13" s="20">
        <v>30</v>
      </c>
      <c r="C13" s="20">
        <v>29.7</v>
      </c>
      <c r="D13" s="20">
        <v>30</v>
      </c>
      <c r="E13" s="20">
        <v>30</v>
      </c>
      <c r="F13" s="17">
        <f t="shared" si="2"/>
        <v>119.7</v>
      </c>
      <c r="G13">
        <f t="shared" si="0"/>
        <v>29.925000000000001</v>
      </c>
      <c r="H13">
        <f t="shared" si="1"/>
        <v>9.9749999999999996</v>
      </c>
    </row>
    <row r="14" spans="1:8">
      <c r="A14" s="7" t="s">
        <v>10</v>
      </c>
      <c r="B14" s="18">
        <v>29.7</v>
      </c>
      <c r="C14" s="18">
        <v>29.7</v>
      </c>
      <c r="D14" s="18">
        <v>29.9</v>
      </c>
      <c r="E14" s="18">
        <v>29.9</v>
      </c>
      <c r="F14" s="17">
        <f t="shared" si="2"/>
        <v>119.19999999999999</v>
      </c>
      <c r="G14">
        <f t="shared" si="0"/>
        <v>29.799999999999997</v>
      </c>
      <c r="H14">
        <f t="shared" si="1"/>
        <v>9.9333333333333318</v>
      </c>
    </row>
    <row r="15" spans="1:8">
      <c r="A15" s="7" t="s">
        <v>21</v>
      </c>
      <c r="B15" s="19">
        <v>29.2</v>
      </c>
      <c r="C15" s="19">
        <v>29.6</v>
      </c>
      <c r="D15" s="19">
        <v>29.4</v>
      </c>
      <c r="E15" s="19">
        <v>28.9</v>
      </c>
      <c r="F15" s="17">
        <f t="shared" si="2"/>
        <v>117.1</v>
      </c>
      <c r="G15">
        <f t="shared" si="0"/>
        <v>29.274999999999999</v>
      </c>
      <c r="H15">
        <f t="shared" si="1"/>
        <v>9.7583333333333329</v>
      </c>
    </row>
    <row r="16" spans="1:8">
      <c r="A16" s="7" t="s">
        <v>20</v>
      </c>
      <c r="B16" s="18">
        <v>29</v>
      </c>
      <c r="C16" s="18">
        <v>29.4</v>
      </c>
      <c r="D16" s="18">
        <v>29.4</v>
      </c>
      <c r="E16" s="18">
        <v>29.1</v>
      </c>
      <c r="F16" s="17">
        <f t="shared" si="2"/>
        <v>116.9</v>
      </c>
      <c r="G16">
        <f t="shared" si="0"/>
        <v>29.225000000000001</v>
      </c>
      <c r="H16">
        <f t="shared" si="1"/>
        <v>9.7416666666666671</v>
      </c>
    </row>
    <row r="17" spans="1:8">
      <c r="A17" s="8"/>
      <c r="G17">
        <f t="shared" si="0"/>
        <v>0</v>
      </c>
      <c r="H17">
        <f t="shared" si="1"/>
        <v>0</v>
      </c>
    </row>
  </sheetData>
  <phoneticPr fontId="8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35D8E-121F-4CB5-945A-D927F29C2466}">
  <dimension ref="A1:H17"/>
  <sheetViews>
    <sheetView workbookViewId="0">
      <selection activeCell="B2" sqref="B2:E16"/>
    </sheetView>
  </sheetViews>
  <sheetFormatPr defaultColWidth="27.83203125" defaultRowHeight="18.75"/>
  <cols>
    <col min="1" max="1" width="32.33203125" style="9" bestFit="1" customWidth="1"/>
    <col min="2" max="5" width="14" style="9" bestFit="1" customWidth="1"/>
    <col min="6" max="6" width="11.83203125" style="9" bestFit="1" customWidth="1"/>
    <col min="7" max="7" width="10.5" style="9" bestFit="1" customWidth="1"/>
    <col min="8" max="8" width="20.5" style="9" bestFit="1" customWidth="1"/>
    <col min="9" max="9" width="7.33203125" style="9" bestFit="1" customWidth="1"/>
    <col min="10" max="16384" width="27.83203125" style="9"/>
  </cols>
  <sheetData>
    <row r="1" spans="1:8">
      <c r="A1" s="9" t="s">
        <v>30</v>
      </c>
      <c r="B1" s="9" t="s">
        <v>25</v>
      </c>
      <c r="C1" s="9" t="s">
        <v>26</v>
      </c>
      <c r="D1" s="9" t="s">
        <v>27</v>
      </c>
      <c r="E1" s="9" t="s">
        <v>28</v>
      </c>
      <c r="F1" s="9" t="s">
        <v>23</v>
      </c>
      <c r="H1" s="9" t="s">
        <v>29</v>
      </c>
    </row>
    <row r="2" spans="1:8">
      <c r="A2" s="7" t="s">
        <v>15</v>
      </c>
      <c r="B2" s="18">
        <v>29.3</v>
      </c>
      <c r="C2" s="18">
        <v>29.8</v>
      </c>
      <c r="D2" s="18">
        <v>30</v>
      </c>
      <c r="E2" s="18">
        <v>30</v>
      </c>
      <c r="F2" s="17">
        <f>SUM(B2:E2)</f>
        <v>119.1</v>
      </c>
      <c r="G2">
        <f t="shared" ref="G2:G17" si="0">F2/COUNTIF(B2:E2,"&lt;&gt;0")</f>
        <v>29.774999999999999</v>
      </c>
      <c r="H2">
        <f t="shared" ref="H2:H17" si="1">G2/3</f>
        <v>9.9249999999999989</v>
      </c>
    </row>
    <row r="3" spans="1:8">
      <c r="A3" s="7" t="s">
        <v>16</v>
      </c>
      <c r="B3" s="19">
        <v>29.7</v>
      </c>
      <c r="C3" s="19">
        <v>29.8</v>
      </c>
      <c r="D3" s="19">
        <v>30</v>
      </c>
      <c r="E3" s="19">
        <v>29.8</v>
      </c>
      <c r="F3" s="17">
        <f t="shared" ref="F3:F16" si="2">SUM(B3:E3)</f>
        <v>119.3</v>
      </c>
      <c r="G3">
        <f t="shared" si="0"/>
        <v>29.824999999999999</v>
      </c>
      <c r="H3">
        <f t="shared" si="1"/>
        <v>9.9416666666666664</v>
      </c>
    </row>
    <row r="4" spans="1:8">
      <c r="A4" s="7" t="s">
        <v>22</v>
      </c>
      <c r="B4" s="20">
        <v>30</v>
      </c>
      <c r="C4" s="20">
        <v>29.9</v>
      </c>
      <c r="D4" s="20">
        <v>30</v>
      </c>
      <c r="E4" s="20">
        <v>30</v>
      </c>
      <c r="F4" s="17">
        <f t="shared" si="2"/>
        <v>119.9</v>
      </c>
      <c r="G4">
        <f t="shared" si="0"/>
        <v>29.975000000000001</v>
      </c>
      <c r="H4">
        <f t="shared" si="1"/>
        <v>9.9916666666666671</v>
      </c>
    </row>
    <row r="5" spans="1:8">
      <c r="A5" s="7" t="s">
        <v>13</v>
      </c>
      <c r="B5" s="19">
        <v>29.2</v>
      </c>
      <c r="C5" s="19">
        <v>29.8</v>
      </c>
      <c r="D5" s="19">
        <v>30</v>
      </c>
      <c r="E5" s="19">
        <v>30</v>
      </c>
      <c r="F5" s="17">
        <f t="shared" si="2"/>
        <v>119</v>
      </c>
      <c r="G5">
        <f t="shared" si="0"/>
        <v>29.75</v>
      </c>
      <c r="H5">
        <f t="shared" si="1"/>
        <v>9.9166666666666661</v>
      </c>
    </row>
    <row r="6" spans="1:8">
      <c r="A6" s="7" t="s">
        <v>18</v>
      </c>
      <c r="B6" s="18">
        <v>29.7</v>
      </c>
      <c r="C6" s="18">
        <v>29.7</v>
      </c>
      <c r="D6" s="18">
        <v>29.8</v>
      </c>
      <c r="E6" s="18">
        <v>30</v>
      </c>
      <c r="F6" s="17">
        <f t="shared" si="2"/>
        <v>119.2</v>
      </c>
      <c r="G6">
        <f t="shared" si="0"/>
        <v>29.8</v>
      </c>
      <c r="H6">
        <f t="shared" si="1"/>
        <v>9.9333333333333336</v>
      </c>
    </row>
    <row r="7" spans="1:8">
      <c r="A7" s="7" t="s">
        <v>14</v>
      </c>
      <c r="B7" s="19">
        <v>29.9</v>
      </c>
      <c r="C7" s="19">
        <v>29.7</v>
      </c>
      <c r="D7" s="19">
        <v>29.7</v>
      </c>
      <c r="E7" s="19">
        <v>29.8</v>
      </c>
      <c r="F7" s="17">
        <f t="shared" si="2"/>
        <v>119.1</v>
      </c>
      <c r="G7">
        <f t="shared" si="0"/>
        <v>29.774999999999999</v>
      </c>
      <c r="H7">
        <f t="shared" si="1"/>
        <v>9.9249999999999989</v>
      </c>
    </row>
    <row r="8" spans="1:8">
      <c r="A8" s="7" t="s">
        <v>8</v>
      </c>
      <c r="B8" s="20">
        <v>30</v>
      </c>
      <c r="C8" s="20">
        <v>30</v>
      </c>
      <c r="D8" s="20">
        <v>30</v>
      </c>
      <c r="E8" s="20">
        <v>30</v>
      </c>
      <c r="F8" s="17">
        <f t="shared" si="2"/>
        <v>120</v>
      </c>
      <c r="G8">
        <f t="shared" si="0"/>
        <v>30</v>
      </c>
      <c r="H8">
        <f t="shared" si="1"/>
        <v>10</v>
      </c>
    </row>
    <row r="9" spans="1:8">
      <c r="A9" s="7" t="s">
        <v>19</v>
      </c>
      <c r="B9" s="19">
        <v>29.8</v>
      </c>
      <c r="C9" s="19">
        <v>29.4</v>
      </c>
      <c r="D9" s="19">
        <v>29.9</v>
      </c>
      <c r="E9" s="19">
        <v>29.7</v>
      </c>
      <c r="F9" s="17">
        <f t="shared" si="2"/>
        <v>118.8</v>
      </c>
      <c r="G9">
        <f t="shared" si="0"/>
        <v>29.7</v>
      </c>
      <c r="H9">
        <f t="shared" si="1"/>
        <v>9.9</v>
      </c>
    </row>
    <row r="10" spans="1:8">
      <c r="A10" s="7" t="s">
        <v>11</v>
      </c>
      <c r="B10" s="18">
        <v>29.7</v>
      </c>
      <c r="C10" s="18">
        <v>29.7</v>
      </c>
      <c r="D10" s="18">
        <v>30</v>
      </c>
      <c r="E10" s="18">
        <v>30</v>
      </c>
      <c r="F10" s="17">
        <f t="shared" si="2"/>
        <v>119.4</v>
      </c>
      <c r="G10">
        <f t="shared" si="0"/>
        <v>29.85</v>
      </c>
      <c r="H10">
        <f t="shared" si="1"/>
        <v>9.9500000000000011</v>
      </c>
    </row>
    <row r="11" spans="1:8">
      <c r="A11" s="7" t="s">
        <v>17</v>
      </c>
      <c r="B11" s="19">
        <v>29.9</v>
      </c>
      <c r="C11" s="19">
        <v>29.6</v>
      </c>
      <c r="D11" s="19">
        <v>29.9</v>
      </c>
      <c r="E11" s="19">
        <v>29.9</v>
      </c>
      <c r="F11" s="17">
        <f t="shared" si="2"/>
        <v>119.30000000000001</v>
      </c>
      <c r="G11">
        <f t="shared" si="0"/>
        <v>29.825000000000003</v>
      </c>
      <c r="H11">
        <f t="shared" si="1"/>
        <v>9.9416666666666682</v>
      </c>
    </row>
    <row r="12" spans="1:8">
      <c r="A12" s="7" t="s">
        <v>12</v>
      </c>
      <c r="B12" s="18">
        <v>29.5</v>
      </c>
      <c r="C12" s="18">
        <v>29.8</v>
      </c>
      <c r="D12" s="18">
        <v>30</v>
      </c>
      <c r="E12" s="18">
        <v>29.9</v>
      </c>
      <c r="F12" s="17">
        <f t="shared" si="2"/>
        <v>119.19999999999999</v>
      </c>
      <c r="G12">
        <f t="shared" si="0"/>
        <v>29.799999999999997</v>
      </c>
      <c r="H12">
        <f t="shared" si="1"/>
        <v>9.9333333333333318</v>
      </c>
    </row>
    <row r="13" spans="1:8">
      <c r="A13" s="7" t="s">
        <v>24</v>
      </c>
      <c r="B13" s="20">
        <v>30</v>
      </c>
      <c r="C13" s="20">
        <v>30</v>
      </c>
      <c r="D13" s="20">
        <v>30</v>
      </c>
      <c r="E13" s="20">
        <v>30</v>
      </c>
      <c r="F13" s="17">
        <f t="shared" si="2"/>
        <v>120</v>
      </c>
      <c r="G13">
        <f t="shared" si="0"/>
        <v>30</v>
      </c>
      <c r="H13">
        <f t="shared" si="1"/>
        <v>10</v>
      </c>
    </row>
    <row r="14" spans="1:8">
      <c r="A14" s="7" t="s">
        <v>10</v>
      </c>
      <c r="B14" s="18">
        <v>29.8</v>
      </c>
      <c r="C14" s="18">
        <v>29.7</v>
      </c>
      <c r="D14" s="18">
        <v>30</v>
      </c>
      <c r="E14" s="18">
        <v>29.9</v>
      </c>
      <c r="F14" s="17">
        <f t="shared" si="2"/>
        <v>119.4</v>
      </c>
      <c r="G14">
        <f t="shared" si="0"/>
        <v>29.85</v>
      </c>
      <c r="H14">
        <f t="shared" si="1"/>
        <v>9.9500000000000011</v>
      </c>
    </row>
    <row r="15" spans="1:8">
      <c r="A15" s="7" t="s">
        <v>21</v>
      </c>
      <c r="B15" s="19">
        <v>29.2</v>
      </c>
      <c r="C15" s="19">
        <v>29.8</v>
      </c>
      <c r="D15" s="19">
        <v>29.4</v>
      </c>
      <c r="E15" s="19">
        <v>29.4</v>
      </c>
      <c r="F15" s="17">
        <f t="shared" si="2"/>
        <v>117.80000000000001</v>
      </c>
      <c r="G15">
        <f t="shared" si="0"/>
        <v>29.450000000000003</v>
      </c>
      <c r="H15">
        <f t="shared" si="1"/>
        <v>9.8166666666666682</v>
      </c>
    </row>
    <row r="16" spans="1:8">
      <c r="A16" s="7" t="s">
        <v>20</v>
      </c>
      <c r="B16" s="18">
        <v>29.3</v>
      </c>
      <c r="C16" s="18">
        <v>29.7</v>
      </c>
      <c r="D16" s="18">
        <v>29.8</v>
      </c>
      <c r="E16" s="18">
        <v>29.7</v>
      </c>
      <c r="F16" s="17">
        <f t="shared" si="2"/>
        <v>118.5</v>
      </c>
      <c r="G16">
        <f t="shared" si="0"/>
        <v>29.625</v>
      </c>
      <c r="H16">
        <f t="shared" si="1"/>
        <v>9.875</v>
      </c>
    </row>
    <row r="17" spans="1:8">
      <c r="A17" s="8"/>
      <c r="G17">
        <f t="shared" si="0"/>
        <v>0</v>
      </c>
      <c r="H17">
        <f t="shared" si="1"/>
        <v>0</v>
      </c>
    </row>
  </sheetData>
  <phoneticPr fontId="8" type="noConversion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8C03C-7C50-47DA-B6CA-175D9030EAFC}">
  <dimension ref="A1:H17"/>
  <sheetViews>
    <sheetView workbookViewId="0">
      <selection activeCell="B2" sqref="B2:E16"/>
    </sheetView>
  </sheetViews>
  <sheetFormatPr defaultColWidth="27.83203125" defaultRowHeight="18.75"/>
  <cols>
    <col min="1" max="1" width="32.33203125" style="9" bestFit="1" customWidth="1"/>
    <col min="2" max="5" width="14" style="9" bestFit="1" customWidth="1"/>
    <col min="6" max="6" width="11.83203125" style="9" bestFit="1" customWidth="1"/>
    <col min="7" max="7" width="10.5" style="9" bestFit="1" customWidth="1"/>
    <col min="8" max="8" width="20.5" style="9" bestFit="1" customWidth="1"/>
    <col min="9" max="9" width="7.33203125" style="9" bestFit="1" customWidth="1"/>
    <col min="10" max="16384" width="27.83203125" style="9"/>
  </cols>
  <sheetData>
    <row r="1" spans="1:8">
      <c r="A1" s="9" t="s">
        <v>30</v>
      </c>
      <c r="B1" s="9" t="s">
        <v>25</v>
      </c>
      <c r="C1" s="9" t="s">
        <v>26</v>
      </c>
      <c r="D1" s="9" t="s">
        <v>27</v>
      </c>
      <c r="E1" s="9" t="s">
        <v>28</v>
      </c>
      <c r="F1" s="9" t="s">
        <v>23</v>
      </c>
      <c r="H1" s="9" t="s">
        <v>29</v>
      </c>
    </row>
    <row r="2" spans="1:8">
      <c r="A2" s="7" t="s">
        <v>15</v>
      </c>
      <c r="B2" s="18">
        <v>29</v>
      </c>
      <c r="C2" s="18">
        <v>30</v>
      </c>
      <c r="D2" s="18">
        <v>29.9</v>
      </c>
      <c r="E2" s="18">
        <v>29.7</v>
      </c>
      <c r="F2" s="17">
        <f>SUM(B2:E2)</f>
        <v>118.60000000000001</v>
      </c>
      <c r="G2">
        <f t="shared" ref="G2:G17" si="0">F2/COUNTIF(B2:E2,"&lt;&gt;0")</f>
        <v>29.650000000000002</v>
      </c>
      <c r="H2">
        <f t="shared" ref="H2:H17" si="1">G2/3</f>
        <v>9.8833333333333346</v>
      </c>
    </row>
    <row r="3" spans="1:8">
      <c r="A3" s="7" t="s">
        <v>16</v>
      </c>
      <c r="B3" s="19">
        <v>29.7</v>
      </c>
      <c r="C3" s="19">
        <v>29.8</v>
      </c>
      <c r="D3" s="19">
        <v>29.5</v>
      </c>
      <c r="E3" s="19">
        <v>29.3</v>
      </c>
      <c r="F3" s="17">
        <f t="shared" ref="F3:F16" si="2">SUM(B3:E3)</f>
        <v>118.3</v>
      </c>
      <c r="G3">
        <f t="shared" si="0"/>
        <v>29.574999999999999</v>
      </c>
      <c r="H3">
        <f t="shared" si="1"/>
        <v>9.8583333333333325</v>
      </c>
    </row>
    <row r="4" spans="1:8">
      <c r="A4" s="7" t="s">
        <v>22</v>
      </c>
      <c r="B4" s="20">
        <v>29.9</v>
      </c>
      <c r="C4" s="20">
        <v>30</v>
      </c>
      <c r="D4" s="20">
        <v>30</v>
      </c>
      <c r="E4" s="20">
        <v>30</v>
      </c>
      <c r="F4" s="17">
        <f t="shared" si="2"/>
        <v>119.9</v>
      </c>
      <c r="G4">
        <f t="shared" si="0"/>
        <v>29.975000000000001</v>
      </c>
      <c r="H4">
        <f t="shared" si="1"/>
        <v>9.9916666666666671</v>
      </c>
    </row>
    <row r="5" spans="1:8">
      <c r="A5" s="7" t="s">
        <v>13</v>
      </c>
      <c r="B5" s="19">
        <v>29.1</v>
      </c>
      <c r="C5" s="19">
        <v>29.9</v>
      </c>
      <c r="D5" s="19">
        <v>29.9</v>
      </c>
      <c r="E5" s="19">
        <v>29.9</v>
      </c>
      <c r="F5" s="17">
        <f t="shared" si="2"/>
        <v>118.80000000000001</v>
      </c>
      <c r="G5">
        <f t="shared" si="0"/>
        <v>29.700000000000003</v>
      </c>
      <c r="H5">
        <f t="shared" si="1"/>
        <v>9.9</v>
      </c>
    </row>
    <row r="6" spans="1:8">
      <c r="A6" s="7" t="s">
        <v>18</v>
      </c>
      <c r="B6" s="18">
        <v>29.3</v>
      </c>
      <c r="C6" s="18">
        <v>30</v>
      </c>
      <c r="D6" s="18">
        <v>30</v>
      </c>
      <c r="E6" s="18">
        <v>29.6</v>
      </c>
      <c r="F6" s="17">
        <f t="shared" si="2"/>
        <v>118.9</v>
      </c>
      <c r="G6">
        <f t="shared" si="0"/>
        <v>29.725000000000001</v>
      </c>
      <c r="H6">
        <f t="shared" si="1"/>
        <v>9.9083333333333332</v>
      </c>
    </row>
    <row r="7" spans="1:8">
      <c r="A7" s="7" t="s">
        <v>14</v>
      </c>
      <c r="B7" s="19">
        <v>29.5</v>
      </c>
      <c r="C7" s="19">
        <v>29.6</v>
      </c>
      <c r="D7" s="19">
        <v>29.8</v>
      </c>
      <c r="E7" s="19">
        <v>30</v>
      </c>
      <c r="F7" s="17">
        <f t="shared" si="2"/>
        <v>118.9</v>
      </c>
      <c r="G7">
        <f t="shared" si="0"/>
        <v>29.725000000000001</v>
      </c>
      <c r="H7">
        <f t="shared" si="1"/>
        <v>9.9083333333333332</v>
      </c>
    </row>
    <row r="8" spans="1:8">
      <c r="A8" s="7" t="s">
        <v>8</v>
      </c>
      <c r="B8" s="20">
        <v>30</v>
      </c>
      <c r="C8" s="20">
        <v>30</v>
      </c>
      <c r="D8" s="20">
        <v>30</v>
      </c>
      <c r="E8" s="20">
        <v>30</v>
      </c>
      <c r="F8" s="17">
        <f t="shared" si="2"/>
        <v>120</v>
      </c>
      <c r="G8">
        <f t="shared" si="0"/>
        <v>30</v>
      </c>
      <c r="H8">
        <f t="shared" si="1"/>
        <v>10</v>
      </c>
    </row>
    <row r="9" spans="1:8">
      <c r="A9" s="7" t="s">
        <v>19</v>
      </c>
      <c r="B9" s="19">
        <v>29.3</v>
      </c>
      <c r="C9" s="19">
        <v>29.9</v>
      </c>
      <c r="D9" s="19">
        <v>29.7</v>
      </c>
      <c r="E9" s="19">
        <v>29.5</v>
      </c>
      <c r="F9" s="17">
        <f t="shared" si="2"/>
        <v>118.4</v>
      </c>
      <c r="G9">
        <f t="shared" si="0"/>
        <v>29.6</v>
      </c>
      <c r="H9">
        <f t="shared" si="1"/>
        <v>9.8666666666666671</v>
      </c>
    </row>
    <row r="10" spans="1:8">
      <c r="A10" s="7" t="s">
        <v>11</v>
      </c>
      <c r="B10" s="18">
        <v>30</v>
      </c>
      <c r="C10" s="18">
        <v>29.7</v>
      </c>
      <c r="D10" s="18">
        <v>30</v>
      </c>
      <c r="E10" s="18">
        <v>29.6</v>
      </c>
      <c r="F10" s="17">
        <f t="shared" si="2"/>
        <v>119.30000000000001</v>
      </c>
      <c r="G10">
        <f t="shared" si="0"/>
        <v>29.825000000000003</v>
      </c>
      <c r="H10">
        <f t="shared" si="1"/>
        <v>9.9416666666666682</v>
      </c>
    </row>
    <row r="11" spans="1:8">
      <c r="A11" s="7" t="s">
        <v>17</v>
      </c>
      <c r="B11" s="19">
        <v>29.8</v>
      </c>
      <c r="C11" s="19">
        <v>29.7</v>
      </c>
      <c r="D11" s="19">
        <v>29.7</v>
      </c>
      <c r="E11" s="19">
        <v>29.2</v>
      </c>
      <c r="F11" s="17">
        <f t="shared" si="2"/>
        <v>118.4</v>
      </c>
      <c r="G11">
        <f t="shared" si="0"/>
        <v>29.6</v>
      </c>
      <c r="H11">
        <f t="shared" si="1"/>
        <v>9.8666666666666671</v>
      </c>
    </row>
    <row r="12" spans="1:8">
      <c r="A12" s="7" t="s">
        <v>12</v>
      </c>
      <c r="B12" s="18">
        <v>29.4</v>
      </c>
      <c r="C12" s="18">
        <v>29.5</v>
      </c>
      <c r="D12" s="18">
        <v>29.7</v>
      </c>
      <c r="E12" s="18">
        <v>29.8</v>
      </c>
      <c r="F12" s="17">
        <f t="shared" si="2"/>
        <v>118.39999999999999</v>
      </c>
      <c r="G12">
        <f t="shared" si="0"/>
        <v>29.599999999999998</v>
      </c>
      <c r="H12">
        <f t="shared" si="1"/>
        <v>9.8666666666666654</v>
      </c>
    </row>
    <row r="13" spans="1:8">
      <c r="A13" s="7" t="s">
        <v>24</v>
      </c>
      <c r="B13" s="19">
        <v>29.6</v>
      </c>
      <c r="C13" s="19">
        <v>29.7</v>
      </c>
      <c r="D13" s="19">
        <v>30</v>
      </c>
      <c r="E13" s="19">
        <v>29.8</v>
      </c>
      <c r="F13" s="17">
        <f t="shared" si="2"/>
        <v>119.1</v>
      </c>
      <c r="G13">
        <f t="shared" si="0"/>
        <v>29.774999999999999</v>
      </c>
      <c r="H13">
        <f t="shared" si="1"/>
        <v>9.9249999999999989</v>
      </c>
    </row>
    <row r="14" spans="1:8">
      <c r="A14" s="7" t="s">
        <v>10</v>
      </c>
      <c r="B14" s="20">
        <v>29.7</v>
      </c>
      <c r="C14" s="20">
        <v>29.8</v>
      </c>
      <c r="D14" s="20">
        <v>29.9</v>
      </c>
      <c r="E14" s="20">
        <v>29.9</v>
      </c>
      <c r="F14" s="17">
        <f t="shared" si="2"/>
        <v>119.30000000000001</v>
      </c>
      <c r="G14">
        <f t="shared" si="0"/>
        <v>29.825000000000003</v>
      </c>
      <c r="H14">
        <f t="shared" si="1"/>
        <v>9.9416666666666682</v>
      </c>
    </row>
    <row r="15" spans="1:8">
      <c r="A15" s="7" t="s">
        <v>21</v>
      </c>
      <c r="B15" s="19">
        <v>29.1</v>
      </c>
      <c r="C15" s="19">
        <v>29.5</v>
      </c>
      <c r="D15" s="19">
        <v>29.3</v>
      </c>
      <c r="E15" s="19">
        <v>29</v>
      </c>
      <c r="F15" s="17">
        <f t="shared" si="2"/>
        <v>116.9</v>
      </c>
      <c r="G15">
        <f t="shared" si="0"/>
        <v>29.225000000000001</v>
      </c>
      <c r="H15">
        <f t="shared" si="1"/>
        <v>9.7416666666666671</v>
      </c>
    </row>
    <row r="16" spans="1:8">
      <c r="A16" s="7" t="s">
        <v>20</v>
      </c>
      <c r="B16" s="18">
        <v>29.1</v>
      </c>
      <c r="C16" s="18">
        <v>29.4</v>
      </c>
      <c r="D16" s="18">
        <v>29.2</v>
      </c>
      <c r="E16" s="18">
        <v>29.3</v>
      </c>
      <c r="F16" s="17">
        <f t="shared" si="2"/>
        <v>117</v>
      </c>
      <c r="G16">
        <f t="shared" si="0"/>
        <v>29.25</v>
      </c>
      <c r="H16">
        <f t="shared" si="1"/>
        <v>9.75</v>
      </c>
    </row>
    <row r="17" spans="1:8">
      <c r="A17" s="8"/>
      <c r="G17">
        <f t="shared" si="0"/>
        <v>0</v>
      </c>
      <c r="H17">
        <f t="shared" si="1"/>
        <v>0</v>
      </c>
    </row>
  </sheetData>
  <phoneticPr fontId="8" type="noConversion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6ADA5-A8BF-4EE1-9AD1-FC30B473BC14}">
  <dimension ref="A1:H17"/>
  <sheetViews>
    <sheetView zoomScale="85" zoomScaleNormal="85" workbookViewId="0">
      <selection activeCell="B2" sqref="B2:E16"/>
    </sheetView>
  </sheetViews>
  <sheetFormatPr defaultColWidth="27.83203125" defaultRowHeight="18.75"/>
  <cols>
    <col min="1" max="1" width="32.33203125" style="9" bestFit="1" customWidth="1"/>
    <col min="2" max="5" width="14" style="9" bestFit="1" customWidth="1"/>
    <col min="6" max="6" width="11.83203125" style="9" bestFit="1" customWidth="1"/>
    <col min="7" max="7" width="10.5" style="9" bestFit="1" customWidth="1"/>
    <col min="8" max="8" width="20.5" style="9" bestFit="1" customWidth="1"/>
    <col min="9" max="9" width="7.33203125" style="9" bestFit="1" customWidth="1"/>
    <col min="10" max="16384" width="27.83203125" style="9"/>
  </cols>
  <sheetData>
    <row r="1" spans="1:8">
      <c r="A1" s="9" t="s">
        <v>30</v>
      </c>
      <c r="B1" s="9" t="s">
        <v>25</v>
      </c>
      <c r="C1" s="9" t="s">
        <v>26</v>
      </c>
      <c r="D1" s="9" t="s">
        <v>27</v>
      </c>
      <c r="E1" s="9" t="s">
        <v>28</v>
      </c>
      <c r="F1" s="9" t="s">
        <v>23</v>
      </c>
      <c r="H1" s="9" t="s">
        <v>29</v>
      </c>
    </row>
    <row r="2" spans="1:8">
      <c r="A2" s="7" t="s">
        <v>15</v>
      </c>
      <c r="B2" s="18">
        <v>29.2</v>
      </c>
      <c r="C2" s="18">
        <v>30</v>
      </c>
      <c r="D2" s="18">
        <v>29.9</v>
      </c>
      <c r="E2" s="18">
        <v>30</v>
      </c>
      <c r="F2" s="17">
        <f>SUM(B2:E2)</f>
        <v>119.1</v>
      </c>
      <c r="G2">
        <f t="shared" ref="G2:G17" si="0">F2/COUNTIF(B2:E2,"&lt;&gt;0")</f>
        <v>29.774999999999999</v>
      </c>
      <c r="H2">
        <f t="shared" ref="H2:H17" si="1">G2/3</f>
        <v>9.9249999999999989</v>
      </c>
    </row>
    <row r="3" spans="1:8">
      <c r="A3" s="7" t="s">
        <v>22</v>
      </c>
      <c r="B3" s="19">
        <v>29.8</v>
      </c>
      <c r="C3" s="19">
        <v>29.8</v>
      </c>
      <c r="D3" s="19">
        <v>29.7</v>
      </c>
      <c r="E3" s="19">
        <v>30</v>
      </c>
      <c r="F3" s="17">
        <f t="shared" ref="F3:F16" si="2">SUM(B3:E3)</f>
        <v>119.3</v>
      </c>
      <c r="G3">
        <f t="shared" si="0"/>
        <v>29.824999999999999</v>
      </c>
      <c r="H3">
        <f t="shared" si="1"/>
        <v>9.9416666666666664</v>
      </c>
    </row>
    <row r="4" spans="1:8">
      <c r="A4" s="7" t="s">
        <v>18</v>
      </c>
      <c r="B4" s="20">
        <v>30</v>
      </c>
      <c r="C4" s="20">
        <v>30</v>
      </c>
      <c r="D4" s="20">
        <v>30</v>
      </c>
      <c r="E4" s="20">
        <v>30</v>
      </c>
      <c r="F4" s="17">
        <f t="shared" si="2"/>
        <v>120</v>
      </c>
      <c r="G4">
        <f t="shared" si="0"/>
        <v>30</v>
      </c>
      <c r="H4">
        <f t="shared" si="1"/>
        <v>10</v>
      </c>
    </row>
    <row r="5" spans="1:8">
      <c r="A5" s="7" t="s">
        <v>14</v>
      </c>
      <c r="B5" s="19">
        <v>29.5</v>
      </c>
      <c r="C5" s="19">
        <v>29.7</v>
      </c>
      <c r="D5" s="19">
        <v>29.8</v>
      </c>
      <c r="E5" s="19">
        <v>30</v>
      </c>
      <c r="F5" s="17">
        <f t="shared" si="2"/>
        <v>119</v>
      </c>
      <c r="G5">
        <f t="shared" si="0"/>
        <v>29.75</v>
      </c>
      <c r="H5">
        <f t="shared" si="1"/>
        <v>9.9166666666666661</v>
      </c>
    </row>
    <row r="6" spans="1:8">
      <c r="A6" s="7" t="s">
        <v>8</v>
      </c>
      <c r="B6" s="18">
        <v>29.2</v>
      </c>
      <c r="C6" s="18">
        <v>30</v>
      </c>
      <c r="D6" s="18">
        <v>30</v>
      </c>
      <c r="E6" s="18">
        <v>30</v>
      </c>
      <c r="F6" s="17">
        <f t="shared" si="2"/>
        <v>119.2</v>
      </c>
      <c r="G6">
        <f t="shared" si="0"/>
        <v>29.8</v>
      </c>
      <c r="H6">
        <f t="shared" si="1"/>
        <v>9.9333333333333336</v>
      </c>
    </row>
    <row r="7" spans="1:8">
      <c r="A7" s="7" t="s">
        <v>24</v>
      </c>
      <c r="B7" s="19">
        <v>29.5</v>
      </c>
      <c r="C7" s="19">
        <v>30</v>
      </c>
      <c r="D7" s="19">
        <v>29.8</v>
      </c>
      <c r="E7" s="19">
        <v>30</v>
      </c>
      <c r="F7" s="17">
        <f t="shared" si="2"/>
        <v>119.3</v>
      </c>
      <c r="G7">
        <f t="shared" si="0"/>
        <v>29.824999999999999</v>
      </c>
      <c r="H7">
        <f t="shared" si="1"/>
        <v>9.9416666666666664</v>
      </c>
    </row>
    <row r="8" spans="1:8">
      <c r="A8" s="7" t="s">
        <v>12</v>
      </c>
      <c r="B8" s="20">
        <v>30</v>
      </c>
      <c r="C8" s="20">
        <v>30</v>
      </c>
      <c r="D8" s="20">
        <v>30</v>
      </c>
      <c r="E8" s="20">
        <v>30</v>
      </c>
      <c r="F8" s="17">
        <f t="shared" si="2"/>
        <v>120</v>
      </c>
      <c r="G8">
        <f t="shared" si="0"/>
        <v>30</v>
      </c>
      <c r="H8">
        <f t="shared" si="1"/>
        <v>10</v>
      </c>
    </row>
    <row r="9" spans="1:8">
      <c r="A9" s="7" t="s">
        <v>11</v>
      </c>
      <c r="B9" s="19">
        <v>29.2</v>
      </c>
      <c r="C9" s="19">
        <v>29.8</v>
      </c>
      <c r="D9" s="19">
        <v>29.6</v>
      </c>
      <c r="E9" s="19">
        <v>30</v>
      </c>
      <c r="F9" s="17">
        <f t="shared" si="2"/>
        <v>118.6</v>
      </c>
      <c r="G9">
        <f t="shared" si="0"/>
        <v>29.65</v>
      </c>
      <c r="H9">
        <f t="shared" si="1"/>
        <v>9.8833333333333329</v>
      </c>
    </row>
    <row r="10" spans="1:8">
      <c r="A10" s="7" t="s">
        <v>16</v>
      </c>
      <c r="B10" s="18">
        <v>29.8</v>
      </c>
      <c r="C10" s="18">
        <v>29.8</v>
      </c>
      <c r="D10" s="18">
        <v>30</v>
      </c>
      <c r="E10" s="18">
        <v>30</v>
      </c>
      <c r="F10" s="17">
        <f t="shared" si="2"/>
        <v>119.6</v>
      </c>
      <c r="G10">
        <f t="shared" si="0"/>
        <v>29.9</v>
      </c>
      <c r="H10">
        <f t="shared" si="1"/>
        <v>9.9666666666666668</v>
      </c>
    </row>
    <row r="11" spans="1:8">
      <c r="A11" s="7" t="s">
        <v>10</v>
      </c>
      <c r="B11" s="19">
        <v>29.6</v>
      </c>
      <c r="C11" s="19">
        <v>29.7</v>
      </c>
      <c r="D11" s="19">
        <v>30</v>
      </c>
      <c r="E11" s="19">
        <v>30</v>
      </c>
      <c r="F11" s="17">
        <f t="shared" si="2"/>
        <v>119.3</v>
      </c>
      <c r="G11">
        <f t="shared" si="0"/>
        <v>29.824999999999999</v>
      </c>
      <c r="H11">
        <f t="shared" si="1"/>
        <v>9.9416666666666664</v>
      </c>
    </row>
    <row r="12" spans="1:8">
      <c r="A12" s="7" t="s">
        <v>19</v>
      </c>
      <c r="B12" s="18">
        <v>29.9</v>
      </c>
      <c r="C12" s="18">
        <v>29.9</v>
      </c>
      <c r="D12" s="18">
        <v>30</v>
      </c>
      <c r="E12" s="18">
        <v>30</v>
      </c>
      <c r="F12" s="17">
        <f t="shared" si="2"/>
        <v>119.8</v>
      </c>
      <c r="G12">
        <f t="shared" si="0"/>
        <v>29.95</v>
      </c>
      <c r="H12">
        <f t="shared" si="1"/>
        <v>9.9833333333333325</v>
      </c>
    </row>
    <row r="13" spans="1:8">
      <c r="A13" s="7" t="s">
        <v>13</v>
      </c>
      <c r="B13" s="20">
        <v>30</v>
      </c>
      <c r="C13" s="20">
        <v>30</v>
      </c>
      <c r="D13" s="20">
        <v>30</v>
      </c>
      <c r="E13" s="20">
        <v>30</v>
      </c>
      <c r="F13" s="17">
        <f t="shared" si="2"/>
        <v>120</v>
      </c>
      <c r="G13">
        <f t="shared" si="0"/>
        <v>30</v>
      </c>
      <c r="H13">
        <f t="shared" si="1"/>
        <v>10</v>
      </c>
    </row>
    <row r="14" spans="1:8">
      <c r="A14" s="7" t="s">
        <v>17</v>
      </c>
      <c r="B14" s="18">
        <v>29.8</v>
      </c>
      <c r="C14" s="18">
        <v>29.8</v>
      </c>
      <c r="D14" s="18">
        <v>30</v>
      </c>
      <c r="E14" s="18">
        <v>30</v>
      </c>
      <c r="F14" s="17">
        <f t="shared" si="2"/>
        <v>119.6</v>
      </c>
      <c r="G14">
        <f t="shared" si="0"/>
        <v>29.9</v>
      </c>
      <c r="H14">
        <f t="shared" si="1"/>
        <v>9.9666666666666668</v>
      </c>
    </row>
    <row r="15" spans="1:8">
      <c r="A15" s="7" t="s">
        <v>21</v>
      </c>
      <c r="B15" s="19">
        <v>28.9</v>
      </c>
      <c r="C15" s="19">
        <v>29.7</v>
      </c>
      <c r="D15" s="19">
        <v>29.2</v>
      </c>
      <c r="E15" s="19">
        <v>29.6</v>
      </c>
      <c r="F15" s="17">
        <f t="shared" si="2"/>
        <v>117.4</v>
      </c>
      <c r="G15">
        <f t="shared" si="0"/>
        <v>29.35</v>
      </c>
      <c r="H15">
        <f t="shared" si="1"/>
        <v>9.7833333333333332</v>
      </c>
    </row>
    <row r="16" spans="1:8">
      <c r="A16" s="7" t="s">
        <v>20</v>
      </c>
      <c r="B16" s="18">
        <v>29.1</v>
      </c>
      <c r="C16" s="18">
        <v>29.4</v>
      </c>
      <c r="D16" s="18">
        <v>29.8</v>
      </c>
      <c r="E16" s="18">
        <v>29.7</v>
      </c>
      <c r="F16" s="17">
        <f t="shared" si="2"/>
        <v>118</v>
      </c>
      <c r="G16">
        <f t="shared" si="0"/>
        <v>29.5</v>
      </c>
      <c r="H16">
        <f t="shared" si="1"/>
        <v>9.8333333333333339</v>
      </c>
    </row>
    <row r="17" spans="1:8">
      <c r="A17" s="8"/>
      <c r="G17">
        <f t="shared" si="0"/>
        <v>0</v>
      </c>
      <c r="H17">
        <f t="shared" si="1"/>
        <v>0</v>
      </c>
    </row>
  </sheetData>
  <phoneticPr fontId="8" type="noConversion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65632-FA7B-444B-B2C2-933E2BCED597}">
  <dimension ref="A1:H17"/>
  <sheetViews>
    <sheetView zoomScale="85" zoomScaleNormal="85" workbookViewId="0">
      <selection activeCell="C8" sqref="C8"/>
    </sheetView>
  </sheetViews>
  <sheetFormatPr defaultColWidth="27.83203125" defaultRowHeight="18.75"/>
  <cols>
    <col min="1" max="1" width="32.33203125" style="9" bestFit="1" customWidth="1"/>
    <col min="2" max="5" width="14" style="9" bestFit="1" customWidth="1"/>
    <col min="6" max="6" width="11.83203125" style="9" bestFit="1" customWidth="1"/>
    <col min="7" max="7" width="10.5" style="9" bestFit="1" customWidth="1"/>
    <col min="8" max="8" width="20.5" style="9" bestFit="1" customWidth="1"/>
    <col min="9" max="9" width="7.33203125" style="9" bestFit="1" customWidth="1"/>
    <col min="10" max="16384" width="27.83203125" style="9"/>
  </cols>
  <sheetData>
    <row r="1" spans="1:8">
      <c r="A1" s="9" t="s">
        <v>30</v>
      </c>
      <c r="B1" s="9" t="s">
        <v>25</v>
      </c>
      <c r="C1" s="9" t="s">
        <v>26</v>
      </c>
      <c r="D1" s="9" t="s">
        <v>27</v>
      </c>
      <c r="E1" s="9" t="s">
        <v>28</v>
      </c>
      <c r="F1" s="9" t="s">
        <v>23</v>
      </c>
      <c r="H1" s="9" t="s">
        <v>29</v>
      </c>
    </row>
    <row r="2" spans="1:8">
      <c r="A2" s="7" t="s">
        <v>15</v>
      </c>
      <c r="B2" s="18">
        <v>29.3</v>
      </c>
      <c r="C2" s="18">
        <v>29.8</v>
      </c>
      <c r="D2" s="18">
        <v>29.8</v>
      </c>
      <c r="E2" s="18">
        <v>29.9</v>
      </c>
      <c r="F2" s="17">
        <f>SUM(B2:E2)</f>
        <v>118.80000000000001</v>
      </c>
      <c r="G2">
        <f t="shared" ref="G2:G17" si="0">F2/COUNTIF(B2:E2,"&lt;&gt;0")</f>
        <v>29.700000000000003</v>
      </c>
      <c r="H2">
        <f t="shared" ref="H2:H17" si="1">G2/3</f>
        <v>9.9</v>
      </c>
    </row>
    <row r="3" spans="1:8">
      <c r="A3" s="7" t="s">
        <v>22</v>
      </c>
      <c r="B3" s="19">
        <v>29.3</v>
      </c>
      <c r="C3" s="19">
        <v>29.8</v>
      </c>
      <c r="D3" s="19">
        <v>29.9</v>
      </c>
      <c r="E3" s="19">
        <v>29.4</v>
      </c>
      <c r="F3" s="17">
        <f t="shared" ref="F3:F16" si="2">SUM(B3:E3)</f>
        <v>118.4</v>
      </c>
      <c r="G3">
        <f t="shared" si="0"/>
        <v>29.6</v>
      </c>
      <c r="H3">
        <f t="shared" si="1"/>
        <v>9.8666666666666671</v>
      </c>
    </row>
    <row r="4" spans="1:8">
      <c r="A4" s="7" t="s">
        <v>18</v>
      </c>
      <c r="B4" s="20">
        <v>30</v>
      </c>
      <c r="C4" s="20">
        <v>30</v>
      </c>
      <c r="D4" s="20">
        <v>30</v>
      </c>
      <c r="E4" s="20">
        <v>30</v>
      </c>
      <c r="F4" s="17">
        <f t="shared" si="2"/>
        <v>120</v>
      </c>
      <c r="G4">
        <f t="shared" si="0"/>
        <v>30</v>
      </c>
      <c r="H4">
        <f t="shared" si="1"/>
        <v>10</v>
      </c>
    </row>
    <row r="5" spans="1:8">
      <c r="A5" s="7" t="s">
        <v>14</v>
      </c>
      <c r="B5" s="19">
        <v>29.5</v>
      </c>
      <c r="C5" s="19">
        <v>29.8</v>
      </c>
      <c r="D5" s="19">
        <v>30</v>
      </c>
      <c r="E5" s="19">
        <v>29.8</v>
      </c>
      <c r="F5" s="17">
        <f t="shared" si="2"/>
        <v>119.1</v>
      </c>
      <c r="G5">
        <f t="shared" si="0"/>
        <v>29.774999999999999</v>
      </c>
      <c r="H5">
        <f t="shared" si="1"/>
        <v>9.9249999999999989</v>
      </c>
    </row>
    <row r="6" spans="1:8">
      <c r="A6" s="7" t="s">
        <v>8</v>
      </c>
      <c r="B6" s="18">
        <v>29.3</v>
      </c>
      <c r="C6" s="18">
        <v>29.9</v>
      </c>
      <c r="D6" s="18">
        <v>29.9</v>
      </c>
      <c r="E6" s="18">
        <v>29.6</v>
      </c>
      <c r="F6" s="17">
        <f t="shared" si="2"/>
        <v>118.69999999999999</v>
      </c>
      <c r="G6">
        <f t="shared" si="0"/>
        <v>29.674999999999997</v>
      </c>
      <c r="H6">
        <f t="shared" si="1"/>
        <v>9.8916666666666657</v>
      </c>
    </row>
    <row r="7" spans="1:8">
      <c r="A7" s="7" t="s">
        <v>24</v>
      </c>
      <c r="B7" s="19">
        <v>29.4</v>
      </c>
      <c r="C7" s="19">
        <v>29.8</v>
      </c>
      <c r="D7" s="19">
        <v>29.6</v>
      </c>
      <c r="E7" s="19">
        <v>29.9</v>
      </c>
      <c r="F7" s="17">
        <f t="shared" si="2"/>
        <v>118.70000000000002</v>
      </c>
      <c r="G7">
        <f t="shared" si="0"/>
        <v>29.675000000000004</v>
      </c>
      <c r="H7">
        <f t="shared" si="1"/>
        <v>9.8916666666666675</v>
      </c>
    </row>
    <row r="8" spans="1:8">
      <c r="A8" s="7" t="s">
        <v>12</v>
      </c>
      <c r="B8" s="20">
        <v>30</v>
      </c>
      <c r="C8" s="20">
        <v>30</v>
      </c>
      <c r="D8" s="20">
        <v>30</v>
      </c>
      <c r="E8" s="20">
        <v>29.9</v>
      </c>
      <c r="F8" s="17">
        <f t="shared" si="2"/>
        <v>119.9</v>
      </c>
      <c r="G8">
        <f t="shared" si="0"/>
        <v>29.975000000000001</v>
      </c>
      <c r="H8">
        <f t="shared" si="1"/>
        <v>9.9916666666666671</v>
      </c>
    </row>
    <row r="9" spans="1:8">
      <c r="A9" s="7" t="s">
        <v>11</v>
      </c>
      <c r="B9" s="19">
        <v>28.9</v>
      </c>
      <c r="C9" s="19">
        <v>29.6</v>
      </c>
      <c r="D9" s="19">
        <v>29.5</v>
      </c>
      <c r="E9" s="19">
        <v>29.3</v>
      </c>
      <c r="F9" s="17">
        <f t="shared" si="2"/>
        <v>117.3</v>
      </c>
      <c r="G9">
        <f t="shared" si="0"/>
        <v>29.324999999999999</v>
      </c>
      <c r="H9">
        <f t="shared" si="1"/>
        <v>9.7750000000000004</v>
      </c>
    </row>
    <row r="10" spans="1:8">
      <c r="A10" s="7" t="s">
        <v>16</v>
      </c>
      <c r="B10" s="18">
        <v>30</v>
      </c>
      <c r="C10" s="18">
        <v>29.5</v>
      </c>
      <c r="D10" s="18">
        <v>29.9</v>
      </c>
      <c r="E10" s="18">
        <v>29.7</v>
      </c>
      <c r="F10" s="17">
        <f t="shared" si="2"/>
        <v>119.10000000000001</v>
      </c>
      <c r="G10">
        <f t="shared" si="0"/>
        <v>29.775000000000002</v>
      </c>
      <c r="H10">
        <f t="shared" si="1"/>
        <v>9.9250000000000007</v>
      </c>
    </row>
    <row r="11" spans="1:8">
      <c r="A11" s="7" t="s">
        <v>10</v>
      </c>
      <c r="B11" s="19">
        <v>29.8</v>
      </c>
      <c r="C11" s="19">
        <v>29.6</v>
      </c>
      <c r="D11" s="19">
        <v>29.9</v>
      </c>
      <c r="E11" s="19">
        <v>29.8</v>
      </c>
      <c r="F11" s="17">
        <f t="shared" si="2"/>
        <v>119.10000000000001</v>
      </c>
      <c r="G11">
        <f t="shared" si="0"/>
        <v>29.775000000000002</v>
      </c>
      <c r="H11">
        <f t="shared" si="1"/>
        <v>9.9250000000000007</v>
      </c>
    </row>
    <row r="12" spans="1:8">
      <c r="A12" s="7" t="s">
        <v>19</v>
      </c>
      <c r="B12" s="18">
        <v>29.3</v>
      </c>
      <c r="C12" s="18">
        <v>29.7</v>
      </c>
      <c r="D12" s="18">
        <v>29.8</v>
      </c>
      <c r="E12" s="18">
        <v>29.9</v>
      </c>
      <c r="F12" s="17">
        <f t="shared" si="2"/>
        <v>118.69999999999999</v>
      </c>
      <c r="G12">
        <f t="shared" si="0"/>
        <v>29.674999999999997</v>
      </c>
      <c r="H12">
        <f t="shared" si="1"/>
        <v>9.8916666666666657</v>
      </c>
    </row>
    <row r="13" spans="1:8">
      <c r="A13" s="7" t="s">
        <v>13</v>
      </c>
      <c r="B13" s="20">
        <v>30</v>
      </c>
      <c r="C13" s="20">
        <v>29.9</v>
      </c>
      <c r="D13" s="20">
        <v>30</v>
      </c>
      <c r="E13" s="20">
        <v>30</v>
      </c>
      <c r="F13" s="17">
        <f t="shared" si="2"/>
        <v>119.9</v>
      </c>
      <c r="G13">
        <f t="shared" si="0"/>
        <v>29.975000000000001</v>
      </c>
      <c r="H13">
        <f t="shared" si="1"/>
        <v>9.9916666666666671</v>
      </c>
    </row>
    <row r="14" spans="1:8">
      <c r="A14" s="7" t="s">
        <v>17</v>
      </c>
      <c r="B14" s="18">
        <v>29.6</v>
      </c>
      <c r="C14" s="18">
        <v>29.8</v>
      </c>
      <c r="D14" s="18">
        <v>30</v>
      </c>
      <c r="E14" s="18">
        <v>29.9</v>
      </c>
      <c r="F14" s="17">
        <f t="shared" si="2"/>
        <v>119.30000000000001</v>
      </c>
      <c r="G14">
        <f t="shared" si="0"/>
        <v>29.825000000000003</v>
      </c>
      <c r="H14">
        <f t="shared" si="1"/>
        <v>9.9416666666666682</v>
      </c>
    </row>
    <row r="15" spans="1:8">
      <c r="A15" s="7" t="s">
        <v>21</v>
      </c>
      <c r="B15" s="19">
        <v>29</v>
      </c>
      <c r="C15" s="19">
        <v>29.6</v>
      </c>
      <c r="D15" s="19">
        <v>29.1</v>
      </c>
      <c r="E15" s="19">
        <v>28.8</v>
      </c>
      <c r="F15" s="17">
        <f t="shared" si="2"/>
        <v>116.5</v>
      </c>
      <c r="G15">
        <f t="shared" si="0"/>
        <v>29.125</v>
      </c>
      <c r="H15">
        <f t="shared" si="1"/>
        <v>9.7083333333333339</v>
      </c>
    </row>
    <row r="16" spans="1:8">
      <c r="A16" s="7" t="s">
        <v>20</v>
      </c>
      <c r="B16" s="18">
        <v>29.6</v>
      </c>
      <c r="C16" s="18">
        <v>29.5</v>
      </c>
      <c r="D16" s="18">
        <v>29.6</v>
      </c>
      <c r="E16" s="18">
        <v>29.6</v>
      </c>
      <c r="F16" s="17">
        <f t="shared" si="2"/>
        <v>118.30000000000001</v>
      </c>
      <c r="G16">
        <f t="shared" si="0"/>
        <v>29.575000000000003</v>
      </c>
      <c r="H16">
        <f t="shared" si="1"/>
        <v>9.8583333333333343</v>
      </c>
    </row>
    <row r="17" spans="1:8">
      <c r="A17" s="8"/>
      <c r="G17">
        <f t="shared" si="0"/>
        <v>0</v>
      </c>
      <c r="H17">
        <f t="shared" si="1"/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TOTAL</vt:lpstr>
      <vt:lpstr>COREOGRAFIA</vt:lpstr>
      <vt:lpstr>MARCAÇÃO</vt:lpstr>
      <vt:lpstr>ANIMAÇÃO</vt:lpstr>
      <vt:lpstr>FIGURINO</vt:lpstr>
      <vt:lpstr>CASAL DE NOIVOS</vt:lpstr>
      <vt:lpstr>TRILHA SONORA</vt:lpstr>
      <vt:lpstr>TEMÁTICA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Tiago</cp:lastModifiedBy>
  <dcterms:created xsi:type="dcterms:W3CDTF">2026-03-12T20:41:21Z</dcterms:created>
  <dcterms:modified xsi:type="dcterms:W3CDTF">2026-05-01T14:49:35Z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2026-02-02T00:00:00Z</vt:filetime>
  </property>
  <property fmtid="{D5CDD505-2E9C-101B-9397-08002B2CF9AE}" pid="3" name="Creator">
    <vt:lpwstr>www.smallpdf.com</vt:lpwstr>
  </property>
  <property fmtid="{D5CDD505-2E9C-101B-9397-08002B2CF9AE}" pid="4" name="LastSaved">
    <vt:filetime>2026-03-12T00:00:00Z</vt:filetime>
  </property>
  <property fmtid="{D5CDD505-2E9C-101B-9397-08002B2CF9AE}" pid="5" name="Producer">
    <vt:lpwstr>www.smallpdf.com</vt:lpwstr>
  </property>
</Properties>
</file>
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4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iago\Documents\GitHub\site-linq-dfe-beta\dashboard\assets\notas\"/>
    </mc:Choice>
  </mc:AlternateContent>
  <xr:revisionPtr revIDLastSave="0" documentId="13_ncr:1_{1031D253-6BE7-4E87-8B70-408337EF884F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TOTAL" sheetId="7" r:id="rId1"/>
    <sheet name="COREOGRAFIA" sheetId="1" r:id="rId2"/>
    <sheet name="MARCAÇÃO" sheetId="2" r:id="rId3"/>
    <sheet name="ANIMAÇÃO" sheetId="3" r:id="rId4"/>
    <sheet name="FIGURINOS" sheetId="4" r:id="rId5"/>
    <sheet name="CASAL DE NOIVOS" sheetId="5" r:id="rId6"/>
    <sheet name="TRILHA SONORA" sheetId="6" r:id="rId7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8" i="6" l="1"/>
  <c r="G7" i="6"/>
  <c r="G8" i="5"/>
  <c r="G7" i="5"/>
  <c r="G8" i="4"/>
  <c r="G7" i="4"/>
  <c r="H7" i="4" s="1"/>
  <c r="G8" i="3"/>
  <c r="G7" i="3"/>
  <c r="G8" i="2"/>
  <c r="G7" i="2"/>
  <c r="G8" i="1"/>
  <c r="G7" i="1"/>
  <c r="G7" i="7"/>
  <c r="G8" i="7"/>
  <c r="H8" i="6"/>
  <c r="H7" i="6"/>
  <c r="G6" i="6"/>
  <c r="H6" i="6" s="1"/>
  <c r="G5" i="6"/>
  <c r="H5" i="6" s="1"/>
  <c r="G4" i="6"/>
  <c r="H4" i="6" s="1"/>
  <c r="H3" i="6"/>
  <c r="G3" i="6"/>
  <c r="G2" i="6"/>
  <c r="H2" i="6" s="1"/>
  <c r="H8" i="5"/>
  <c r="H7" i="5"/>
  <c r="G6" i="5"/>
  <c r="H6" i="5" s="1"/>
  <c r="G5" i="5"/>
  <c r="H5" i="5" s="1"/>
  <c r="G4" i="5"/>
  <c r="H4" i="5" s="1"/>
  <c r="G3" i="5"/>
  <c r="H3" i="5" s="1"/>
  <c r="G2" i="5"/>
  <c r="H2" i="5" s="1"/>
  <c r="H8" i="4"/>
  <c r="G6" i="4"/>
  <c r="H6" i="4" s="1"/>
  <c r="G5" i="4"/>
  <c r="H5" i="4" s="1"/>
  <c r="G4" i="4"/>
  <c r="H4" i="4" s="1"/>
  <c r="G3" i="4"/>
  <c r="H3" i="4" s="1"/>
  <c r="G2" i="4"/>
  <c r="H2" i="4" s="1"/>
  <c r="H8" i="3"/>
  <c r="H7" i="3"/>
  <c r="G6" i="3"/>
  <c r="H6" i="3" s="1"/>
  <c r="G5" i="3"/>
  <c r="H5" i="3" s="1"/>
  <c r="G4" i="3"/>
  <c r="H4" i="3" s="1"/>
  <c r="G3" i="3"/>
  <c r="H3" i="3" s="1"/>
  <c r="G2" i="3"/>
  <c r="H2" i="3" s="1"/>
  <c r="H8" i="2"/>
  <c r="H7" i="2"/>
  <c r="G6" i="2"/>
  <c r="H6" i="2" s="1"/>
  <c r="G5" i="2"/>
  <c r="H5" i="2" s="1"/>
  <c r="G4" i="2"/>
  <c r="H4" i="2" s="1"/>
  <c r="G3" i="2"/>
  <c r="H3" i="2" s="1"/>
  <c r="G2" i="2"/>
  <c r="H2" i="2" s="1"/>
  <c r="H8" i="1"/>
  <c r="H7" i="1"/>
  <c r="H2" i="1"/>
  <c r="G3" i="1"/>
  <c r="H3" i="1" s="1"/>
  <c r="G4" i="1"/>
  <c r="H4" i="1" s="1"/>
  <c r="G5" i="1"/>
  <c r="H5" i="1" s="1"/>
  <c r="G6" i="1"/>
  <c r="H6" i="1" s="1"/>
  <c r="G2" i="1"/>
  <c r="H2" i="7"/>
  <c r="H4" i="7"/>
  <c r="H5" i="7"/>
  <c r="I5" i="7" s="1"/>
  <c r="H6" i="7"/>
  <c r="I6" i="7" s="1"/>
  <c r="H8" i="7"/>
  <c r="I8" i="7" s="1"/>
  <c r="I4" i="7"/>
  <c r="I2" i="7"/>
  <c r="H7" i="7"/>
  <c r="I7" i="7" s="1"/>
  <c r="G3" i="7"/>
  <c r="H3" i="7" s="1"/>
  <c r="I3" i="7" s="1"/>
  <c r="G4" i="7"/>
  <c r="G5" i="7"/>
  <c r="G6" i="7"/>
  <c r="G2" i="7"/>
</calcChain>
</file>

<file path=xl/sharedStrings.xml><?xml version="1.0" encoding="utf-8"?>
<sst xmlns="http://schemas.openxmlformats.org/spreadsheetml/2006/main" count="113" uniqueCount="28">
  <si>
    <r>
      <rPr>
        <b/>
        <sz val="11"/>
        <rFont val="Calibri"/>
        <family val="1"/>
      </rPr>
      <t>QUADRILHA</t>
    </r>
  </si>
  <si>
    <r>
      <rPr>
        <b/>
        <sz val="11"/>
        <rFont val="Calibri"/>
        <family val="1"/>
      </rPr>
      <t>1ª ETAPA</t>
    </r>
  </si>
  <si>
    <r>
      <rPr>
        <b/>
        <sz val="11"/>
        <rFont val="Calibri"/>
        <family val="1"/>
      </rPr>
      <t>2ª ETAPA</t>
    </r>
  </si>
  <si>
    <r>
      <rPr>
        <b/>
        <sz val="11"/>
        <rFont val="Calibri"/>
        <family val="1"/>
      </rPr>
      <t>3ª ETAPA</t>
    </r>
  </si>
  <si>
    <r>
      <rPr>
        <b/>
        <sz val="11"/>
        <rFont val="Calibri"/>
        <family val="1"/>
      </rPr>
      <t>TOTAL</t>
    </r>
  </si>
  <si>
    <r>
      <rPr>
        <b/>
        <sz val="11"/>
        <rFont val="Calibri"/>
        <family val="1"/>
      </rPr>
      <t>MALA VÉIA</t>
    </r>
  </si>
  <si>
    <r>
      <rPr>
        <b/>
        <sz val="11"/>
        <rFont val="Calibri"/>
        <family val="1"/>
      </rPr>
      <t>CAIPIRADA</t>
    </r>
  </si>
  <si>
    <r>
      <rPr>
        <b/>
        <sz val="11"/>
        <rFont val="Calibri"/>
        <family val="1"/>
      </rPr>
      <t>XIQUE XIQUE</t>
    </r>
  </si>
  <si>
    <r>
      <rPr>
        <sz val="11"/>
        <rFont val="Calibri"/>
        <family val="1"/>
      </rPr>
      <t>FORNALHA</t>
    </r>
  </si>
  <si>
    <r>
      <rPr>
        <sz val="11"/>
        <rFont val="Calibri"/>
        <family val="1"/>
      </rPr>
      <t>VAI MAS NÃO VAI</t>
    </r>
  </si>
  <si>
    <r>
      <rPr>
        <sz val="11"/>
        <rFont val="Calibri"/>
        <family val="1"/>
      </rPr>
      <t>TICO TICO NO FUBÁ</t>
    </r>
  </si>
  <si>
    <r>
      <rPr>
        <sz val="11"/>
        <rFont val="Calibri"/>
        <family val="1"/>
      </rPr>
      <t>DESCLAS.</t>
    </r>
  </si>
  <si>
    <r>
      <rPr>
        <sz val="11"/>
        <rFont val="Calibri"/>
        <family val="1"/>
      </rPr>
      <t>OXENTE VIXE</t>
    </r>
  </si>
  <si>
    <r>
      <rPr>
        <sz val="11"/>
        <rFont val="Calibri"/>
        <family val="1"/>
      </rPr>
      <t>1ª ETAPA</t>
    </r>
  </si>
  <si>
    <r>
      <rPr>
        <sz val="11"/>
        <rFont val="Calibri"/>
        <family val="1"/>
      </rPr>
      <t>2ª ETAPA</t>
    </r>
  </si>
  <si>
    <r>
      <rPr>
        <sz val="11"/>
        <rFont val="Calibri"/>
        <family val="1"/>
      </rPr>
      <t>3ª ETAPA</t>
    </r>
  </si>
  <si>
    <r>
      <rPr>
        <sz val="11"/>
        <rFont val="Calibri"/>
        <family val="1"/>
      </rPr>
      <t>TOTAL</t>
    </r>
  </si>
  <si>
    <r>
      <rPr>
        <sz val="11"/>
        <rFont val="Calibri"/>
        <family val="1"/>
      </rPr>
      <t>CAIPIRADA</t>
    </r>
  </si>
  <si>
    <r>
      <rPr>
        <sz val="11"/>
        <rFont val="Calibri"/>
        <family val="1"/>
      </rPr>
      <t>XIQUE XIQUE</t>
    </r>
  </si>
  <si>
    <r>
      <rPr>
        <sz val="11"/>
        <rFont val="Calibri"/>
        <family val="1"/>
      </rPr>
      <t>MALA VÉIA</t>
    </r>
  </si>
  <si>
    <t>TRILHA SONORA</t>
  </si>
  <si>
    <t>CASAL DE NOIVOS</t>
  </si>
  <si>
    <t>FIGURINOS</t>
  </si>
  <si>
    <t>ANIMAÇÃO</t>
  </si>
  <si>
    <t>MARCAÇÃO</t>
  </si>
  <si>
    <t>COREOGRAFIA</t>
  </si>
  <si>
    <t>TOTAL</t>
  </si>
  <si>
    <t>MÉDIA REAL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</si>
</sst>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8">
    <font>
      <sz val="10"/>
      <color rgb="FF000000"/>
      <name val="Times New Roman"/>
      <charset val="204"/>
    </font>
    <font>
      <b/>
      <sz val="11"/>
      <name val="Calibri"/>
    </font>
    <font>
      <b/>
      <sz val="11"/>
      <color rgb="FF000000"/>
      <name val="Calibri"/>
      <family val="2"/>
    </font>
    <font>
      <b/>
      <sz val="11"/>
      <color rgb="FFFFFFFF"/>
      <name val="Calibri"/>
      <family val="2"/>
    </font>
    <font>
      <sz val="11"/>
      <color rgb="FF000000"/>
      <name val="Calibri"/>
      <family val="2"/>
    </font>
    <font>
      <sz val="11"/>
      <name val="Calibri"/>
    </font>
    <font>
      <b/>
      <sz val="11"/>
      <name val="Calibri"/>
      <family val="1"/>
    </font>
    <font>
      <sz val="11"/>
      <name val="Calibri"/>
      <family val="1"/>
    </font>
  </fonts>
  <fills count="8">
    <fill>
      <patternFill patternType="none"/>
    </fill>
    <fill>
      <patternFill patternType="gray125"/>
    </fill>
    <fill>
      <patternFill patternType="solid">
        <fgColor rgb="FFFFD865"/>
      </patternFill>
    </fill>
    <fill>
      <patternFill patternType="solid">
        <fgColor rgb="FFFFFF00"/>
      </patternFill>
    </fill>
    <fill>
      <patternFill patternType="solid">
        <fgColor rgb="FFD8E1F2"/>
      </patternFill>
    </fill>
    <fill>
      <patternFill patternType="solid">
        <fgColor rgb="FF001F5F"/>
      </patternFill>
    </fill>
    <fill>
      <patternFill patternType="solid">
        <fgColor rgb="FFDEEBF6"/>
      </patternFill>
    </fill>
    <fill>
      <patternFill patternType="solid">
        <fgColor rgb="FFFFFF00"/>
        <bgColor indexed="64"/>
      </patternFill>
    </fill>
  </fills>
  <borders count="7">
    <border>
      <left/>
      <right/>
      <top/>
      <bottom/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8">
    <xf numFmtId="0" fontId="0" fillId="0" borderId="0" xfId="0" applyAlignment="1">
      <alignment horizontal="left" vertical="top"/>
    </xf>
    <xf numFmtId="164" fontId="2" fillId="4" borderId="2" xfId="0" applyNumberFormat="1" applyFont="1" applyFill="1" applyBorder="1" applyAlignment="1">
      <alignment horizontal="right" vertical="top" shrinkToFit="1"/>
    </xf>
    <xf numFmtId="164" fontId="3" fillId="5" borderId="2" xfId="0" applyNumberFormat="1" applyFont="1" applyFill="1" applyBorder="1" applyAlignment="1">
      <alignment horizontal="right" vertical="top" shrinkToFit="1"/>
    </xf>
    <xf numFmtId="164" fontId="4" fillId="0" borderId="2" xfId="0" applyNumberFormat="1" applyFont="1" applyBorder="1" applyAlignment="1">
      <alignment horizontal="right" vertical="top" shrinkToFit="1"/>
    </xf>
    <xf numFmtId="164" fontId="4" fillId="3" borderId="2" xfId="0" applyNumberFormat="1" applyFont="1" applyFill="1" applyBorder="1" applyAlignment="1">
      <alignment horizontal="right" vertical="top" shrinkToFit="1"/>
    </xf>
    <xf numFmtId="164" fontId="2" fillId="3" borderId="2" xfId="0" applyNumberFormat="1" applyFont="1" applyFill="1" applyBorder="1" applyAlignment="1">
      <alignment horizontal="right" vertical="top" shrinkToFit="1"/>
    </xf>
    <xf numFmtId="164" fontId="2" fillId="3" borderId="4" xfId="0" applyNumberFormat="1" applyFont="1" applyFill="1" applyBorder="1" applyAlignment="1">
      <alignment horizontal="right" vertical="top" shrinkToFit="1"/>
    </xf>
    <xf numFmtId="164" fontId="4" fillId="6" borderId="2" xfId="0" applyNumberFormat="1" applyFont="1" applyFill="1" applyBorder="1" applyAlignment="1">
      <alignment horizontal="right" vertical="top" shrinkToFit="1"/>
    </xf>
    <xf numFmtId="164" fontId="4" fillId="6" borderId="4" xfId="0" applyNumberFormat="1" applyFont="1" applyFill="1" applyBorder="1" applyAlignment="1">
      <alignment horizontal="right" vertical="top" shrinkToFit="1"/>
    </xf>
    <xf numFmtId="164" fontId="2" fillId="3" borderId="6" xfId="0" applyNumberFormat="1" applyFont="1" applyFill="1" applyBorder="1" applyAlignment="1">
      <alignment horizontal="right" vertical="top" shrinkToFit="1"/>
    </xf>
    <xf numFmtId="164" fontId="4" fillId="0" borderId="6" xfId="0" applyNumberFormat="1" applyFont="1" applyBorder="1" applyAlignment="1">
      <alignment horizontal="right" vertical="top" shrinkToFit="1"/>
    </xf>
    <xf numFmtId="164" fontId="0" fillId="0" borderId="1" xfId="0" applyNumberFormat="1" applyBorder="1" applyAlignment="1">
      <alignment horizontal="left" wrapText="1"/>
    </xf>
    <xf numFmtId="164" fontId="1" fillId="2" borderId="2" xfId="0" applyNumberFormat="1" applyFont="1" applyFill="1" applyBorder="1" applyAlignment="1">
      <alignment horizontal="left" vertical="top" wrapText="1" indent="6"/>
    </xf>
    <xf numFmtId="164" fontId="1" fillId="2" borderId="2" xfId="0" applyNumberFormat="1" applyFont="1" applyFill="1" applyBorder="1" applyAlignment="1">
      <alignment horizontal="left" vertical="top" wrapText="1" indent="2"/>
    </xf>
    <xf numFmtId="164" fontId="1" fillId="3" borderId="2" xfId="0" applyNumberFormat="1" applyFont="1" applyFill="1" applyBorder="1" applyAlignment="1">
      <alignment horizontal="left" vertical="top" wrapText="1" indent="3"/>
    </xf>
    <xf numFmtId="164" fontId="0" fillId="0" borderId="0" xfId="0" applyNumberFormat="1" applyAlignment="1">
      <alignment horizontal="left" vertical="top"/>
    </xf>
    <xf numFmtId="164" fontId="0" fillId="7" borderId="5" xfId="0" applyNumberFormat="1" applyFill="1" applyBorder="1" applyAlignment="1">
      <alignment horizontal="left" vertical="top"/>
    </xf>
    <xf numFmtId="164" fontId="1" fillId="4" borderId="2" xfId="0" applyNumberFormat="1" applyFont="1" applyFill="1" applyBorder="1" applyAlignment="1">
      <alignment horizontal="left" vertical="top" wrapText="1"/>
    </xf>
    <xf numFmtId="164" fontId="5" fillId="0" borderId="2" xfId="0" applyNumberFormat="1" applyFont="1" applyBorder="1" applyAlignment="1">
      <alignment horizontal="left" vertical="top" wrapText="1"/>
    </xf>
    <xf numFmtId="164" fontId="5" fillId="0" borderId="2" xfId="0" applyNumberFormat="1" applyFont="1" applyBorder="1" applyAlignment="1">
      <alignment horizontal="right" vertical="top" wrapText="1"/>
    </xf>
    <xf numFmtId="164" fontId="5" fillId="0" borderId="2" xfId="0" applyNumberFormat="1" applyFont="1" applyBorder="1" applyAlignment="1">
      <alignment horizontal="left" vertical="top" wrapText="1" indent="2"/>
    </xf>
    <xf numFmtId="164" fontId="5" fillId="0" borderId="4" xfId="0" applyNumberFormat="1" applyFont="1" applyBorder="1" applyAlignment="1">
      <alignment horizontal="left" vertical="top" wrapText="1" indent="2"/>
    </xf>
    <xf numFmtId="164" fontId="5" fillId="0" borderId="6" xfId="0" applyNumberFormat="1" applyFont="1" applyBorder="1" applyAlignment="1">
      <alignment horizontal="left" vertical="top" wrapText="1" indent="3"/>
    </xf>
    <xf numFmtId="164" fontId="1" fillId="3" borderId="2" xfId="0" applyNumberFormat="1" applyFont="1" applyFill="1" applyBorder="1" applyAlignment="1">
      <alignment horizontal="left" vertical="top" wrapText="1"/>
    </xf>
    <xf numFmtId="164" fontId="5" fillId="6" borderId="4" xfId="0" applyNumberFormat="1" applyFont="1" applyFill="1" applyBorder="1" applyAlignment="1">
      <alignment horizontal="right" vertical="top" wrapText="1"/>
    </xf>
    <xf numFmtId="164" fontId="5" fillId="6" borderId="2" xfId="0" applyNumberFormat="1" applyFont="1" applyFill="1" applyBorder="1" applyAlignment="1">
      <alignment horizontal="right" vertical="top" wrapText="1"/>
    </xf>
    <xf numFmtId="164" fontId="0" fillId="0" borderId="3" xfId="0" applyNumberFormat="1" applyBorder="1" applyAlignment="1">
      <alignment horizontal="left" wrapText="1"/>
    </xf>
    <xf numFmtId="164" fontId="0" fillId="0" borderId="1" xfId="0" applyNumberFormat="1" applyBorder="1" applyAlignment="1">
      <alignment horizontal="left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DA6C8A-3A94-4B05-B614-F2A6DFEC3CBB}">
  <dimension ref="A1:I8"/>
  <sheetViews>
    <sheetView tabSelected="1" workbookViewId="0">
      <selection activeCell="G7" sqref="G7"/>
    </sheetView>
  </sheetViews>
  <sheetFormatPr defaultColWidth="25" defaultRowHeight="12.75"/>
  <cols>
    <col min="1" max="1" width="11.5" style="15" customWidth="1"/>
    <col min="2" max="2" width="23" style="15" bestFit="1" customWidth="1"/>
    <col min="3" max="5" width="13.6640625" style="15" bestFit="1" customWidth="1"/>
    <col min="6" max="6" width="12.1640625" style="15" bestFit="1" customWidth="1"/>
    <col min="7" max="16384" width="25" style="15"/>
  </cols>
  <sheetData>
    <row r="1" spans="1:9" ht="15">
      <c r="A1" s="11" t="s">
        <v>26</v>
      </c>
      <c r="B1" s="12" t="s">
        <v>0</v>
      </c>
      <c r="C1" s="13" t="s">
        <v>1</v>
      </c>
      <c r="D1" s="13" t="s">
        <v>2</v>
      </c>
      <c r="E1" s="13" t="s">
        <v>3</v>
      </c>
      <c r="F1" s="14" t="s">
        <v>4</v>
      </c>
      <c r="I1" s="16" t="s">
        <v>27</v>
      </c>
    </row>
    <row r="2" spans="1:9" ht="15">
      <c r="A2" s="1">
        <v>1</v>
      </c>
      <c r="B2" s="17" t="s">
        <v>5</v>
      </c>
      <c r="C2" s="1">
        <v>298.39999999999998</v>
      </c>
      <c r="D2" s="1">
        <v>298.10000000000002</v>
      </c>
      <c r="E2" s="1">
        <v>298.60000000000002</v>
      </c>
      <c r="F2" s="2">
        <v>895.1</v>
      </c>
      <c r="G2">
        <f t="shared" ref="G2:G8" si="0">F2/COUNTIF(C2:E2,"&lt;&gt;0")</f>
        <v>298.36666666666667</v>
      </c>
      <c r="H2">
        <f t="shared" ref="H2:H8" si="1">G2/5</f>
        <v>59.673333333333332</v>
      </c>
      <c r="I2">
        <f t="shared" ref="I2:I8" si="2">H2/6</f>
        <v>9.9455555555555559</v>
      </c>
    </row>
    <row r="3" spans="1:9" ht="15">
      <c r="A3" s="1">
        <v>2</v>
      </c>
      <c r="B3" s="17" t="s">
        <v>6</v>
      </c>
      <c r="C3" s="1">
        <v>297.5</v>
      </c>
      <c r="D3" s="1">
        <v>297.89999999999998</v>
      </c>
      <c r="E3" s="1">
        <v>297.39999999999998</v>
      </c>
      <c r="F3" s="2">
        <v>892.8</v>
      </c>
      <c r="G3">
        <f t="shared" si="0"/>
        <v>297.59999999999997</v>
      </c>
      <c r="H3">
        <f t="shared" si="1"/>
        <v>59.519999999999996</v>
      </c>
      <c r="I3">
        <f t="shared" si="2"/>
        <v>9.92</v>
      </c>
    </row>
    <row r="4" spans="1:9" ht="15">
      <c r="A4" s="1">
        <v>3</v>
      </c>
      <c r="B4" s="17" t="s">
        <v>7</v>
      </c>
      <c r="C4" s="1">
        <v>294.10000000000002</v>
      </c>
      <c r="D4" s="1">
        <v>295.39999999999998</v>
      </c>
      <c r="E4" s="1">
        <v>297.5</v>
      </c>
      <c r="F4" s="2">
        <v>887</v>
      </c>
      <c r="G4">
        <f t="shared" si="0"/>
        <v>295.66666666666669</v>
      </c>
      <c r="H4">
        <f t="shared" si="1"/>
        <v>59.13333333333334</v>
      </c>
      <c r="I4">
        <f t="shared" si="2"/>
        <v>9.8555555555555561</v>
      </c>
    </row>
    <row r="5" spans="1:9" ht="15">
      <c r="A5" s="3">
        <v>4</v>
      </c>
      <c r="B5" s="18" t="s">
        <v>8</v>
      </c>
      <c r="C5" s="3">
        <v>296</v>
      </c>
      <c r="D5" s="3">
        <v>292.8</v>
      </c>
      <c r="E5" s="3">
        <v>296.89999999999998</v>
      </c>
      <c r="F5" s="4">
        <v>885.7</v>
      </c>
      <c r="G5">
        <f t="shared" si="0"/>
        <v>295.23333333333335</v>
      </c>
      <c r="H5">
        <f t="shared" si="1"/>
        <v>59.046666666666667</v>
      </c>
      <c r="I5">
        <f t="shared" si="2"/>
        <v>9.8411111111111111</v>
      </c>
    </row>
    <row r="6" spans="1:9" ht="15">
      <c r="A6" s="3">
        <v>5</v>
      </c>
      <c r="B6" s="18" t="s">
        <v>9</v>
      </c>
      <c r="C6" s="3">
        <v>288</v>
      </c>
      <c r="D6" s="3">
        <v>293.39999999999998</v>
      </c>
      <c r="E6" s="3">
        <v>293.2</v>
      </c>
      <c r="F6" s="4">
        <v>874.6</v>
      </c>
      <c r="G6">
        <f t="shared" si="0"/>
        <v>291.53333333333336</v>
      </c>
      <c r="H6">
        <f t="shared" si="1"/>
        <v>58.306666666666672</v>
      </c>
      <c r="I6">
        <f t="shared" si="2"/>
        <v>9.7177777777777781</v>
      </c>
    </row>
    <row r="7" spans="1:9" ht="15">
      <c r="A7" s="3">
        <v>6</v>
      </c>
      <c r="B7" s="18" t="s">
        <v>10</v>
      </c>
      <c r="C7" s="3">
        <v>295.8</v>
      </c>
      <c r="D7" s="3">
        <v>295.8</v>
      </c>
      <c r="E7" s="19" t="s">
        <v>11</v>
      </c>
      <c r="F7" s="4">
        <v>591.6</v>
      </c>
      <c r="G7">
        <f>F7/2</f>
        <v>295.8</v>
      </c>
      <c r="H7">
        <f t="shared" si="1"/>
        <v>59.160000000000004</v>
      </c>
      <c r="I7">
        <f t="shared" si="2"/>
        <v>9.8600000000000012</v>
      </c>
    </row>
    <row r="8" spans="1:9" ht="15">
      <c r="A8" s="3">
        <v>7</v>
      </c>
      <c r="B8" s="18" t="s">
        <v>12</v>
      </c>
      <c r="C8" s="3">
        <v>292.3</v>
      </c>
      <c r="D8" s="19" t="s">
        <v>11</v>
      </c>
      <c r="E8" s="19" t="s">
        <v>11</v>
      </c>
      <c r="F8" s="4">
        <v>292.3</v>
      </c>
      <c r="G8" s="15">
        <f>F8</f>
        <v>292.3</v>
      </c>
      <c r="H8">
        <f t="shared" si="1"/>
        <v>58.46</v>
      </c>
      <c r="I8">
        <f t="shared" si="2"/>
        <v>9.7433333333333341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6"/>
  <sheetViews>
    <sheetView workbookViewId="0">
      <selection activeCell="G7" sqref="G7:G8"/>
    </sheetView>
  </sheetViews>
  <sheetFormatPr defaultRowHeight="12.75"/>
  <cols>
    <col min="1" max="1" width="3.33203125" style="15" customWidth="1"/>
    <col min="2" max="2" width="34.1640625" style="15" customWidth="1"/>
    <col min="3" max="3" width="17.5" style="15" customWidth="1"/>
    <col min="4" max="5" width="17.83203125" style="15" customWidth="1"/>
    <col min="6" max="6" width="17.5" style="15" customWidth="1"/>
    <col min="7" max="7" width="9.33203125" style="15"/>
    <col min="8" max="8" width="14.1640625" style="15" bestFit="1" customWidth="1"/>
    <col min="9" max="16384" width="9.33203125" style="15"/>
  </cols>
  <sheetData>
    <row r="1" spans="1:8" ht="18" customHeight="1">
      <c r="A1" s="26" t="s">
        <v>25</v>
      </c>
      <c r="B1" s="27"/>
      <c r="C1" s="20" t="s">
        <v>13</v>
      </c>
      <c r="D1" s="20" t="s">
        <v>14</v>
      </c>
      <c r="E1" s="21" t="s">
        <v>15</v>
      </c>
      <c r="F1" s="22" t="s">
        <v>16</v>
      </c>
      <c r="H1" s="15" t="s">
        <v>27</v>
      </c>
    </row>
    <row r="2" spans="1:8" ht="18" customHeight="1">
      <c r="A2" s="5">
        <v>1</v>
      </c>
      <c r="B2" s="23" t="s">
        <v>5</v>
      </c>
      <c r="C2" s="5">
        <v>49.1</v>
      </c>
      <c r="D2" s="5">
        <v>49.3</v>
      </c>
      <c r="E2" s="6">
        <v>49.3</v>
      </c>
      <c r="F2" s="9">
        <v>147.69999999999999</v>
      </c>
      <c r="G2">
        <f t="shared" ref="G2:G8" si="0">F2/COUNTIF(C2:E2,"&lt;&gt;0")</f>
        <v>49.233333333333327</v>
      </c>
      <c r="H2">
        <f t="shared" ref="H2:H8" si="1">G2/5</f>
        <v>9.8466666666666658</v>
      </c>
    </row>
    <row r="3" spans="1:8" ht="18" customHeight="1">
      <c r="A3" s="3">
        <v>2</v>
      </c>
      <c r="B3" s="18" t="s">
        <v>17</v>
      </c>
      <c r="C3" s="7">
        <v>48.9</v>
      </c>
      <c r="D3" s="7">
        <v>49.5</v>
      </c>
      <c r="E3" s="8">
        <v>49</v>
      </c>
      <c r="F3" s="10">
        <v>147.4</v>
      </c>
      <c r="G3">
        <f t="shared" si="0"/>
        <v>49.133333333333333</v>
      </c>
      <c r="H3">
        <f t="shared" si="1"/>
        <v>9.8266666666666662</v>
      </c>
    </row>
    <row r="4" spans="1:8" ht="18" customHeight="1">
      <c r="A4" s="3">
        <v>3</v>
      </c>
      <c r="B4" s="18" t="s">
        <v>8</v>
      </c>
      <c r="C4" s="7">
        <v>48.5</v>
      </c>
      <c r="D4" s="7">
        <v>48.4</v>
      </c>
      <c r="E4" s="8">
        <v>48.8</v>
      </c>
      <c r="F4" s="10">
        <v>145.69999999999999</v>
      </c>
      <c r="G4">
        <f t="shared" si="0"/>
        <v>48.566666666666663</v>
      </c>
      <c r="H4">
        <f t="shared" si="1"/>
        <v>9.7133333333333329</v>
      </c>
    </row>
    <row r="5" spans="1:8" ht="18" customHeight="1">
      <c r="A5" s="3">
        <v>4</v>
      </c>
      <c r="B5" s="18" t="s">
        <v>18</v>
      </c>
      <c r="C5" s="7">
        <v>47.6</v>
      </c>
      <c r="D5" s="7">
        <v>48.6</v>
      </c>
      <c r="E5" s="8">
        <v>49.3</v>
      </c>
      <c r="F5" s="10">
        <v>145.5</v>
      </c>
      <c r="G5">
        <f t="shared" si="0"/>
        <v>48.5</v>
      </c>
      <c r="H5">
        <f t="shared" si="1"/>
        <v>9.6999999999999993</v>
      </c>
    </row>
    <row r="6" spans="1:8" ht="18" customHeight="1">
      <c r="A6" s="3">
        <v>5</v>
      </c>
      <c r="B6" s="18" t="s">
        <v>9</v>
      </c>
      <c r="C6" s="7">
        <v>47</v>
      </c>
      <c r="D6" s="7">
        <v>48.7</v>
      </c>
      <c r="E6" s="8">
        <v>48.2</v>
      </c>
      <c r="F6" s="10">
        <v>143.9</v>
      </c>
      <c r="G6">
        <f t="shared" si="0"/>
        <v>47.966666666666669</v>
      </c>
      <c r="H6">
        <f t="shared" si="1"/>
        <v>9.5933333333333337</v>
      </c>
    </row>
    <row r="7" spans="1:8" ht="18" customHeight="1">
      <c r="A7" s="3">
        <v>6</v>
      </c>
      <c r="B7" s="18" t="s">
        <v>10</v>
      </c>
      <c r="C7" s="7">
        <v>48.5</v>
      </c>
      <c r="D7" s="7">
        <v>49.2</v>
      </c>
      <c r="E7" s="24" t="s">
        <v>11</v>
      </c>
      <c r="F7" s="10">
        <v>97.7</v>
      </c>
      <c r="G7">
        <f>F7/2</f>
        <v>48.85</v>
      </c>
      <c r="H7">
        <f t="shared" si="1"/>
        <v>9.77</v>
      </c>
    </row>
    <row r="8" spans="1:8" ht="18" customHeight="1">
      <c r="A8" s="3">
        <v>7</v>
      </c>
      <c r="B8" s="18" t="s">
        <v>12</v>
      </c>
      <c r="C8" s="7">
        <v>47.5</v>
      </c>
      <c r="D8" s="25" t="s">
        <v>11</v>
      </c>
      <c r="E8" s="24" t="s">
        <v>11</v>
      </c>
      <c r="F8" s="10">
        <v>47.5</v>
      </c>
      <c r="G8" s="15">
        <f>F8</f>
        <v>47.5</v>
      </c>
      <c r="H8">
        <f t="shared" si="1"/>
        <v>9.5</v>
      </c>
    </row>
    <row r="9" spans="1:8" ht="18" customHeight="1"/>
    <row r="10" spans="1:8" ht="18" customHeight="1"/>
    <row r="11" spans="1:8" ht="18" customHeight="1"/>
    <row r="12" spans="1:8" ht="18" customHeight="1"/>
    <row r="13" spans="1:8" ht="18" customHeight="1"/>
    <row r="14" spans="1:8" ht="18" customHeight="1"/>
    <row r="15" spans="1:8" ht="18" customHeight="1"/>
    <row r="16" spans="1:8" ht="18" customHeight="1"/>
  </sheetData>
  <mergeCells count="1">
    <mergeCell ref="A1:B1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16"/>
  <sheetViews>
    <sheetView workbookViewId="0">
      <selection activeCell="G7" sqref="G7:G8"/>
    </sheetView>
  </sheetViews>
  <sheetFormatPr defaultRowHeight="12.75"/>
  <cols>
    <col min="1" max="1" width="3.33203125" style="15" customWidth="1"/>
    <col min="2" max="2" width="34.1640625" style="15" customWidth="1"/>
    <col min="3" max="3" width="17.5" style="15" customWidth="1"/>
    <col min="4" max="5" width="17.83203125" style="15" customWidth="1"/>
    <col min="6" max="6" width="17.5" style="15" customWidth="1"/>
    <col min="7" max="7" width="9.33203125" style="15"/>
    <col min="8" max="8" width="14.1640625" style="15" bestFit="1" customWidth="1"/>
    <col min="9" max="16384" width="9.33203125" style="15"/>
  </cols>
  <sheetData>
    <row r="1" spans="1:8" ht="18" customHeight="1">
      <c r="A1" s="26" t="s">
        <v>24</v>
      </c>
      <c r="B1" s="27"/>
      <c r="C1" s="20" t="s">
        <v>13</v>
      </c>
      <c r="D1" s="20" t="s">
        <v>14</v>
      </c>
      <c r="E1" s="21" t="s">
        <v>15</v>
      </c>
      <c r="F1" s="22" t="s">
        <v>16</v>
      </c>
      <c r="H1" s="15" t="s">
        <v>27</v>
      </c>
    </row>
    <row r="2" spans="1:8" ht="18" customHeight="1">
      <c r="A2" s="5">
        <v>1</v>
      </c>
      <c r="B2" s="23" t="s">
        <v>5</v>
      </c>
      <c r="C2" s="5">
        <v>50</v>
      </c>
      <c r="D2" s="5">
        <v>49.5</v>
      </c>
      <c r="E2" s="6">
        <v>50</v>
      </c>
      <c r="F2" s="9">
        <v>149.5</v>
      </c>
      <c r="G2">
        <f t="shared" ref="G2:G8" si="0">F2/COUNTIF(C2:E2,"&lt;&gt;0")</f>
        <v>49.833333333333336</v>
      </c>
      <c r="H2">
        <f t="shared" ref="H2:H8" si="1">G2/5</f>
        <v>9.9666666666666668</v>
      </c>
    </row>
    <row r="3" spans="1:8" ht="18" customHeight="1">
      <c r="A3" s="3">
        <v>2</v>
      </c>
      <c r="B3" s="18" t="s">
        <v>17</v>
      </c>
      <c r="C3" s="7">
        <v>49.5</v>
      </c>
      <c r="D3" s="7">
        <v>49.5</v>
      </c>
      <c r="E3" s="8">
        <v>49.4</v>
      </c>
      <c r="F3" s="10">
        <v>148.4</v>
      </c>
      <c r="G3">
        <f t="shared" si="0"/>
        <v>49.466666666666669</v>
      </c>
      <c r="H3">
        <f t="shared" si="1"/>
        <v>9.8933333333333344</v>
      </c>
    </row>
    <row r="4" spans="1:8" ht="18" customHeight="1">
      <c r="A4" s="3">
        <v>3</v>
      </c>
      <c r="B4" s="18" t="s">
        <v>18</v>
      </c>
      <c r="C4" s="7">
        <v>48.7</v>
      </c>
      <c r="D4" s="7">
        <v>49.6</v>
      </c>
      <c r="E4" s="8">
        <v>49.9</v>
      </c>
      <c r="F4" s="10">
        <v>148.19999999999999</v>
      </c>
      <c r="G4">
        <f t="shared" si="0"/>
        <v>49.4</v>
      </c>
      <c r="H4">
        <f t="shared" si="1"/>
        <v>9.879999999999999</v>
      </c>
    </row>
    <row r="5" spans="1:8" ht="18" customHeight="1">
      <c r="A5" s="3">
        <v>4</v>
      </c>
      <c r="B5" s="18" t="s">
        <v>8</v>
      </c>
      <c r="C5" s="7">
        <v>49.7</v>
      </c>
      <c r="D5" s="7">
        <v>48.4</v>
      </c>
      <c r="E5" s="8">
        <v>49.7</v>
      </c>
      <c r="F5" s="10">
        <v>147.80000000000001</v>
      </c>
      <c r="G5">
        <f t="shared" si="0"/>
        <v>49.266666666666673</v>
      </c>
      <c r="H5">
        <f t="shared" si="1"/>
        <v>9.8533333333333353</v>
      </c>
    </row>
    <row r="6" spans="1:8" ht="18" customHeight="1">
      <c r="A6" s="3">
        <v>5</v>
      </c>
      <c r="B6" s="18" t="s">
        <v>9</v>
      </c>
      <c r="C6" s="7">
        <v>47.9</v>
      </c>
      <c r="D6" s="7">
        <v>48.4</v>
      </c>
      <c r="E6" s="8">
        <v>49.3</v>
      </c>
      <c r="F6" s="10">
        <v>145.6</v>
      </c>
      <c r="G6">
        <f t="shared" si="0"/>
        <v>48.533333333333331</v>
      </c>
      <c r="H6">
        <f t="shared" si="1"/>
        <v>9.706666666666667</v>
      </c>
    </row>
    <row r="7" spans="1:8" ht="18" customHeight="1">
      <c r="A7" s="3">
        <v>6</v>
      </c>
      <c r="B7" s="18" t="s">
        <v>10</v>
      </c>
      <c r="C7" s="7">
        <v>49.2</v>
      </c>
      <c r="D7" s="7">
        <v>48.5</v>
      </c>
      <c r="E7" s="24" t="s">
        <v>11</v>
      </c>
      <c r="F7" s="10">
        <v>97.7</v>
      </c>
      <c r="G7">
        <f>F7/2</f>
        <v>48.85</v>
      </c>
      <c r="H7">
        <f t="shared" si="1"/>
        <v>9.77</v>
      </c>
    </row>
    <row r="8" spans="1:8" ht="18" customHeight="1">
      <c r="A8" s="3">
        <v>7</v>
      </c>
      <c r="B8" s="18" t="s">
        <v>12</v>
      </c>
      <c r="C8" s="7">
        <v>48.6</v>
      </c>
      <c r="D8" s="25" t="s">
        <v>11</v>
      </c>
      <c r="E8" s="24" t="s">
        <v>11</v>
      </c>
      <c r="F8" s="10">
        <v>48.6</v>
      </c>
      <c r="G8" s="15">
        <f>F8</f>
        <v>48.6</v>
      </c>
      <c r="H8">
        <f t="shared" si="1"/>
        <v>9.7200000000000006</v>
      </c>
    </row>
    <row r="9" spans="1:8" ht="18" customHeight="1"/>
    <row r="10" spans="1:8" ht="18" customHeight="1"/>
    <row r="11" spans="1:8" ht="18" customHeight="1"/>
    <row r="12" spans="1:8" ht="18" customHeight="1"/>
    <row r="13" spans="1:8" ht="18" customHeight="1"/>
    <row r="14" spans="1:8" ht="18" customHeight="1"/>
    <row r="15" spans="1:8" ht="18" customHeight="1"/>
    <row r="16" spans="1:8" ht="18" customHeight="1"/>
  </sheetData>
  <mergeCells count="1">
    <mergeCell ref="A1:B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16"/>
  <sheetViews>
    <sheetView workbookViewId="0">
      <selection activeCell="G7" sqref="G7:G8"/>
    </sheetView>
  </sheetViews>
  <sheetFormatPr defaultRowHeight="12.75"/>
  <cols>
    <col min="1" max="1" width="3.33203125" style="15" customWidth="1"/>
    <col min="2" max="2" width="34.1640625" style="15" customWidth="1"/>
    <col min="3" max="3" width="17.5" style="15" customWidth="1"/>
    <col min="4" max="5" width="17.83203125" style="15" customWidth="1"/>
    <col min="6" max="6" width="17.5" style="15" customWidth="1"/>
    <col min="7" max="7" width="9.33203125" style="15"/>
    <col min="8" max="8" width="14.1640625" style="15" bestFit="1" customWidth="1"/>
    <col min="9" max="16384" width="9.33203125" style="15"/>
  </cols>
  <sheetData>
    <row r="1" spans="1:8" ht="18" customHeight="1">
      <c r="A1" s="26" t="s">
        <v>23</v>
      </c>
      <c r="B1" s="27"/>
      <c r="C1" s="20" t="s">
        <v>13</v>
      </c>
      <c r="D1" s="20" t="s">
        <v>14</v>
      </c>
      <c r="E1" s="21" t="s">
        <v>15</v>
      </c>
      <c r="F1" s="22" t="s">
        <v>16</v>
      </c>
      <c r="H1" s="15" t="s">
        <v>27</v>
      </c>
    </row>
    <row r="2" spans="1:8" ht="18" customHeight="1">
      <c r="A2" s="5">
        <v>1</v>
      </c>
      <c r="B2" s="23" t="s">
        <v>5</v>
      </c>
      <c r="C2" s="5">
        <v>49.7</v>
      </c>
      <c r="D2" s="5">
        <v>49.5</v>
      </c>
      <c r="E2" s="6">
        <v>49.7</v>
      </c>
      <c r="F2" s="9">
        <v>148.9</v>
      </c>
      <c r="G2">
        <f t="shared" ref="G2:G8" si="0">F2/COUNTIF(C2:E2,"&lt;&gt;0")</f>
        <v>49.633333333333333</v>
      </c>
      <c r="H2">
        <f t="shared" ref="H2:H8" si="1">G2/5</f>
        <v>9.9266666666666659</v>
      </c>
    </row>
    <row r="3" spans="1:8" ht="18" customHeight="1">
      <c r="A3" s="3">
        <v>2</v>
      </c>
      <c r="B3" s="18" t="s">
        <v>17</v>
      </c>
      <c r="C3" s="7">
        <v>49.7</v>
      </c>
      <c r="D3" s="7">
        <v>49.4</v>
      </c>
      <c r="E3" s="8">
        <v>49.4</v>
      </c>
      <c r="F3" s="10">
        <v>148.5</v>
      </c>
      <c r="G3">
        <f t="shared" si="0"/>
        <v>49.5</v>
      </c>
      <c r="H3">
        <f t="shared" si="1"/>
        <v>9.9</v>
      </c>
    </row>
    <row r="4" spans="1:8" ht="18" customHeight="1">
      <c r="A4" s="3">
        <v>3</v>
      </c>
      <c r="B4" s="18" t="s">
        <v>18</v>
      </c>
      <c r="C4" s="7">
        <v>49.5</v>
      </c>
      <c r="D4" s="7">
        <v>48.9</v>
      </c>
      <c r="E4" s="8">
        <v>49.5</v>
      </c>
      <c r="F4" s="10">
        <v>147.9</v>
      </c>
      <c r="G4">
        <f t="shared" si="0"/>
        <v>49.300000000000004</v>
      </c>
      <c r="H4">
        <f t="shared" si="1"/>
        <v>9.8600000000000012</v>
      </c>
    </row>
    <row r="5" spans="1:8" ht="18" customHeight="1">
      <c r="A5" s="3">
        <v>4</v>
      </c>
      <c r="B5" s="18" t="s">
        <v>8</v>
      </c>
      <c r="C5" s="7">
        <v>49.3</v>
      </c>
      <c r="D5" s="7">
        <v>48.2</v>
      </c>
      <c r="E5" s="8">
        <v>49.4</v>
      </c>
      <c r="F5" s="10">
        <v>146.9</v>
      </c>
      <c r="G5">
        <f t="shared" si="0"/>
        <v>48.966666666666669</v>
      </c>
      <c r="H5">
        <f t="shared" si="1"/>
        <v>9.793333333333333</v>
      </c>
    </row>
    <row r="6" spans="1:8" ht="18" customHeight="1">
      <c r="A6" s="3">
        <v>5</v>
      </c>
      <c r="B6" s="18" t="s">
        <v>9</v>
      </c>
      <c r="C6" s="7">
        <v>48.1</v>
      </c>
      <c r="D6" s="7">
        <v>48.7</v>
      </c>
      <c r="E6" s="8">
        <v>48.6</v>
      </c>
      <c r="F6" s="10">
        <v>145.4</v>
      </c>
      <c r="G6">
        <f t="shared" si="0"/>
        <v>48.466666666666669</v>
      </c>
      <c r="H6">
        <f t="shared" si="1"/>
        <v>9.6933333333333334</v>
      </c>
    </row>
    <row r="7" spans="1:8" ht="18" customHeight="1">
      <c r="A7" s="3">
        <v>6</v>
      </c>
      <c r="B7" s="18" t="s">
        <v>10</v>
      </c>
      <c r="C7" s="7">
        <v>50</v>
      </c>
      <c r="D7" s="7">
        <v>49.7</v>
      </c>
      <c r="E7" s="24" t="s">
        <v>11</v>
      </c>
      <c r="F7" s="10">
        <v>99.7</v>
      </c>
      <c r="G7">
        <f>F7/2</f>
        <v>49.85</v>
      </c>
      <c r="H7">
        <f t="shared" si="1"/>
        <v>9.9700000000000006</v>
      </c>
    </row>
    <row r="8" spans="1:8" ht="18" customHeight="1">
      <c r="A8" s="3">
        <v>7</v>
      </c>
      <c r="B8" s="18" t="s">
        <v>12</v>
      </c>
      <c r="C8" s="7">
        <v>49</v>
      </c>
      <c r="D8" s="25" t="s">
        <v>11</v>
      </c>
      <c r="E8" s="24" t="s">
        <v>11</v>
      </c>
      <c r="F8" s="10">
        <v>49</v>
      </c>
      <c r="G8" s="15">
        <f>F8</f>
        <v>49</v>
      </c>
      <c r="H8">
        <f t="shared" si="1"/>
        <v>9.8000000000000007</v>
      </c>
    </row>
    <row r="9" spans="1:8" ht="18" customHeight="1"/>
    <row r="10" spans="1:8" ht="18" customHeight="1"/>
    <row r="11" spans="1:8" ht="18" customHeight="1"/>
    <row r="12" spans="1:8" ht="18" customHeight="1"/>
    <row r="13" spans="1:8" ht="18" customHeight="1"/>
    <row r="14" spans="1:8" ht="18" customHeight="1"/>
    <row r="15" spans="1:8" ht="18" customHeight="1"/>
    <row r="16" spans="1:8" ht="18" customHeight="1"/>
  </sheetData>
  <mergeCells count="1">
    <mergeCell ref="A1:B1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6"/>
  <sheetViews>
    <sheetView workbookViewId="0">
      <selection activeCell="F28" sqref="F28"/>
    </sheetView>
  </sheetViews>
  <sheetFormatPr defaultRowHeight="12.75"/>
  <cols>
    <col min="1" max="1" width="3.33203125" style="15" customWidth="1"/>
    <col min="2" max="2" width="34.1640625" style="15" customWidth="1"/>
    <col min="3" max="3" width="17.5" style="15" customWidth="1"/>
    <col min="4" max="5" width="17.83203125" style="15" customWidth="1"/>
    <col min="6" max="6" width="17.5" style="15" customWidth="1"/>
    <col min="7" max="7" width="9.33203125" style="15"/>
    <col min="8" max="8" width="14.1640625" style="15" bestFit="1" customWidth="1"/>
    <col min="9" max="16384" width="9.33203125" style="15"/>
  </cols>
  <sheetData>
    <row r="1" spans="1:8" ht="18" customHeight="1">
      <c r="A1" s="26" t="s">
        <v>22</v>
      </c>
      <c r="B1" s="27"/>
      <c r="C1" s="20" t="s">
        <v>13</v>
      </c>
      <c r="D1" s="20" t="s">
        <v>14</v>
      </c>
      <c r="E1" s="21" t="s">
        <v>15</v>
      </c>
      <c r="F1" s="22" t="s">
        <v>16</v>
      </c>
      <c r="H1" s="15" t="s">
        <v>27</v>
      </c>
    </row>
    <row r="2" spans="1:8" ht="18" customHeight="1">
      <c r="A2" s="5">
        <v>1</v>
      </c>
      <c r="B2" s="23" t="s">
        <v>6</v>
      </c>
      <c r="C2" s="5">
        <v>49.7</v>
      </c>
      <c r="D2" s="5">
        <v>50</v>
      </c>
      <c r="E2" s="6">
        <v>50</v>
      </c>
      <c r="F2" s="9">
        <v>149.69999999999999</v>
      </c>
      <c r="G2">
        <f t="shared" ref="G2:G8" si="0">F2/COUNTIF(C2:E2,"&lt;&gt;0")</f>
        <v>49.9</v>
      </c>
      <c r="H2">
        <f t="shared" ref="H2:H8" si="1">G2/5</f>
        <v>9.98</v>
      </c>
    </row>
    <row r="3" spans="1:8" ht="18" customHeight="1">
      <c r="A3" s="3">
        <v>2</v>
      </c>
      <c r="B3" s="18" t="s">
        <v>19</v>
      </c>
      <c r="C3" s="7">
        <v>49.8</v>
      </c>
      <c r="D3" s="7">
        <v>49.9</v>
      </c>
      <c r="E3" s="8">
        <v>49.7</v>
      </c>
      <c r="F3" s="10">
        <v>149.4</v>
      </c>
      <c r="G3">
        <f t="shared" si="0"/>
        <v>49.800000000000004</v>
      </c>
      <c r="H3">
        <f t="shared" si="1"/>
        <v>9.9600000000000009</v>
      </c>
    </row>
    <row r="4" spans="1:8" ht="18" customHeight="1">
      <c r="A4" s="3">
        <v>3</v>
      </c>
      <c r="B4" s="18" t="s">
        <v>8</v>
      </c>
      <c r="C4" s="7">
        <v>49.8</v>
      </c>
      <c r="D4" s="7">
        <v>49.4</v>
      </c>
      <c r="E4" s="8">
        <v>49.7</v>
      </c>
      <c r="F4" s="10">
        <v>148.9</v>
      </c>
      <c r="G4">
        <f t="shared" si="0"/>
        <v>49.633333333333333</v>
      </c>
      <c r="H4">
        <f t="shared" si="1"/>
        <v>9.9266666666666659</v>
      </c>
    </row>
    <row r="5" spans="1:8" ht="18" customHeight="1">
      <c r="A5" s="3">
        <v>4</v>
      </c>
      <c r="B5" s="18" t="s">
        <v>18</v>
      </c>
      <c r="C5" s="7">
        <v>49.5</v>
      </c>
      <c r="D5" s="7">
        <v>49.6</v>
      </c>
      <c r="E5" s="8">
        <v>49.7</v>
      </c>
      <c r="F5" s="10">
        <v>148.80000000000001</v>
      </c>
      <c r="G5">
        <f t="shared" si="0"/>
        <v>49.6</v>
      </c>
      <c r="H5">
        <f t="shared" si="1"/>
        <v>9.92</v>
      </c>
    </row>
    <row r="6" spans="1:8" ht="18" customHeight="1">
      <c r="A6" s="3">
        <v>5</v>
      </c>
      <c r="B6" s="18" t="s">
        <v>9</v>
      </c>
      <c r="C6" s="7">
        <v>49.2</v>
      </c>
      <c r="D6" s="7">
        <v>49.6</v>
      </c>
      <c r="E6" s="8">
        <v>49</v>
      </c>
      <c r="F6" s="10">
        <v>147.80000000000001</v>
      </c>
      <c r="G6">
        <f t="shared" si="0"/>
        <v>49.266666666666673</v>
      </c>
      <c r="H6">
        <f t="shared" si="1"/>
        <v>9.8533333333333353</v>
      </c>
    </row>
    <row r="7" spans="1:8" ht="18" customHeight="1">
      <c r="A7" s="3">
        <v>6</v>
      </c>
      <c r="B7" s="18" t="s">
        <v>10</v>
      </c>
      <c r="C7" s="7">
        <v>49.3</v>
      </c>
      <c r="D7" s="7">
        <v>49.6</v>
      </c>
      <c r="E7" s="24" t="s">
        <v>11</v>
      </c>
      <c r="F7" s="10">
        <v>98.9</v>
      </c>
      <c r="G7">
        <f>F7/2</f>
        <v>49.45</v>
      </c>
      <c r="H7">
        <f t="shared" si="1"/>
        <v>9.89</v>
      </c>
    </row>
    <row r="8" spans="1:8" ht="18" customHeight="1">
      <c r="A8" s="3">
        <v>7</v>
      </c>
      <c r="B8" s="18" t="s">
        <v>12</v>
      </c>
      <c r="C8" s="7">
        <v>48.8</v>
      </c>
      <c r="D8" s="25" t="s">
        <v>11</v>
      </c>
      <c r="E8" s="24" t="s">
        <v>11</v>
      </c>
      <c r="F8" s="10">
        <v>48.8</v>
      </c>
      <c r="G8" s="15">
        <f>F8</f>
        <v>48.8</v>
      </c>
      <c r="H8">
        <f t="shared" si="1"/>
        <v>9.76</v>
      </c>
    </row>
    <row r="9" spans="1:8" ht="18" customHeight="1"/>
    <row r="10" spans="1:8" ht="18" customHeight="1"/>
    <row r="11" spans="1:8" ht="18" customHeight="1"/>
    <row r="12" spans="1:8" ht="18" customHeight="1"/>
    <row r="13" spans="1:8" ht="18" customHeight="1"/>
    <row r="14" spans="1:8" ht="18" customHeight="1"/>
    <row r="15" spans="1:8" ht="18" customHeight="1"/>
    <row r="16" spans="1:8" ht="18" customHeight="1"/>
  </sheetData>
  <mergeCells count="1">
    <mergeCell ref="A1:B1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H16"/>
  <sheetViews>
    <sheetView workbookViewId="0">
      <selection activeCell="F28" sqref="F28"/>
    </sheetView>
  </sheetViews>
  <sheetFormatPr defaultRowHeight="12.75"/>
  <cols>
    <col min="1" max="1" width="3.33203125" style="15" customWidth="1"/>
    <col min="2" max="2" width="34.1640625" style="15" customWidth="1"/>
    <col min="3" max="3" width="17.5" style="15" customWidth="1"/>
    <col min="4" max="5" width="17.83203125" style="15" customWidth="1"/>
    <col min="6" max="6" width="17.5" style="15" customWidth="1"/>
    <col min="7" max="7" width="9.33203125" style="15"/>
    <col min="8" max="8" width="14.1640625" style="15" bestFit="1" customWidth="1"/>
    <col min="9" max="16384" width="9.33203125" style="15"/>
  </cols>
  <sheetData>
    <row r="1" spans="1:8" ht="18" customHeight="1">
      <c r="A1" s="26" t="s">
        <v>21</v>
      </c>
      <c r="B1" s="27"/>
      <c r="C1" s="20" t="s">
        <v>13</v>
      </c>
      <c r="D1" s="20" t="s">
        <v>14</v>
      </c>
      <c r="E1" s="21" t="s">
        <v>15</v>
      </c>
      <c r="F1" s="22" t="s">
        <v>16</v>
      </c>
      <c r="H1" s="15" t="s">
        <v>27</v>
      </c>
    </row>
    <row r="2" spans="1:8" ht="18" customHeight="1">
      <c r="A2" s="5">
        <v>1</v>
      </c>
      <c r="B2" s="23" t="s">
        <v>5</v>
      </c>
      <c r="C2" s="5">
        <v>50</v>
      </c>
      <c r="D2" s="5">
        <v>49.9</v>
      </c>
      <c r="E2" s="6">
        <v>49.9</v>
      </c>
      <c r="F2" s="9">
        <v>149.80000000000001</v>
      </c>
      <c r="G2">
        <f t="shared" ref="G2:G8" si="0">F2/COUNTIF(C2:E2,"&lt;&gt;0")</f>
        <v>49.933333333333337</v>
      </c>
      <c r="H2">
        <f t="shared" ref="H2:H8" si="1">G2/5</f>
        <v>9.9866666666666681</v>
      </c>
    </row>
    <row r="3" spans="1:8" ht="18" customHeight="1">
      <c r="A3" s="3">
        <v>2</v>
      </c>
      <c r="B3" s="18" t="s">
        <v>17</v>
      </c>
      <c r="C3" s="7">
        <v>49.7</v>
      </c>
      <c r="D3" s="7">
        <v>49.6</v>
      </c>
      <c r="E3" s="8">
        <v>49.7</v>
      </c>
      <c r="F3" s="10">
        <v>149</v>
      </c>
      <c r="G3">
        <f t="shared" si="0"/>
        <v>49.666666666666664</v>
      </c>
      <c r="H3">
        <f t="shared" si="1"/>
        <v>9.9333333333333336</v>
      </c>
    </row>
    <row r="4" spans="1:8" ht="18" customHeight="1">
      <c r="A4" s="3">
        <v>3</v>
      </c>
      <c r="B4" s="18" t="s">
        <v>18</v>
      </c>
      <c r="C4" s="7">
        <v>49.4</v>
      </c>
      <c r="D4" s="7">
        <v>49.6</v>
      </c>
      <c r="E4" s="8">
        <v>49.1</v>
      </c>
      <c r="F4" s="10">
        <v>148.1</v>
      </c>
      <c r="G4">
        <f t="shared" si="0"/>
        <v>49.366666666666667</v>
      </c>
      <c r="H4">
        <f t="shared" si="1"/>
        <v>9.8733333333333331</v>
      </c>
    </row>
    <row r="5" spans="1:8" ht="18" customHeight="1">
      <c r="A5" s="3">
        <v>4</v>
      </c>
      <c r="B5" s="18" t="s">
        <v>8</v>
      </c>
      <c r="C5" s="7">
        <v>49.4</v>
      </c>
      <c r="D5" s="7">
        <v>49</v>
      </c>
      <c r="E5" s="8">
        <v>49.4</v>
      </c>
      <c r="F5" s="10">
        <v>147.80000000000001</v>
      </c>
      <c r="G5">
        <f t="shared" si="0"/>
        <v>49.266666666666673</v>
      </c>
      <c r="H5">
        <f t="shared" si="1"/>
        <v>9.8533333333333353</v>
      </c>
    </row>
    <row r="6" spans="1:8" ht="18" customHeight="1">
      <c r="A6" s="3">
        <v>5</v>
      </c>
      <c r="B6" s="18" t="s">
        <v>9</v>
      </c>
      <c r="C6" s="7">
        <v>47.9</v>
      </c>
      <c r="D6" s="7">
        <v>48.6</v>
      </c>
      <c r="E6" s="8">
        <v>48.6</v>
      </c>
      <c r="F6" s="10">
        <v>145.1</v>
      </c>
      <c r="G6">
        <f t="shared" si="0"/>
        <v>48.366666666666667</v>
      </c>
      <c r="H6">
        <f t="shared" si="1"/>
        <v>9.6733333333333338</v>
      </c>
    </row>
    <row r="7" spans="1:8" ht="18" customHeight="1">
      <c r="A7" s="3">
        <v>6</v>
      </c>
      <c r="B7" s="18" t="s">
        <v>10</v>
      </c>
      <c r="C7" s="7">
        <v>49.1</v>
      </c>
      <c r="D7" s="7">
        <v>49.2</v>
      </c>
      <c r="E7" s="24" t="s">
        <v>11</v>
      </c>
      <c r="F7" s="10">
        <v>98.3</v>
      </c>
      <c r="G7">
        <f>F7/2</f>
        <v>49.15</v>
      </c>
      <c r="H7">
        <f t="shared" si="1"/>
        <v>9.83</v>
      </c>
    </row>
    <row r="8" spans="1:8" ht="18" customHeight="1">
      <c r="A8" s="3">
        <v>7</v>
      </c>
      <c r="B8" s="18" t="s">
        <v>12</v>
      </c>
      <c r="C8" s="7">
        <v>48.4</v>
      </c>
      <c r="D8" s="25" t="s">
        <v>11</v>
      </c>
      <c r="E8" s="24" t="s">
        <v>11</v>
      </c>
      <c r="F8" s="10">
        <v>48.4</v>
      </c>
      <c r="G8" s="15">
        <f>F8</f>
        <v>48.4</v>
      </c>
      <c r="H8">
        <f t="shared" si="1"/>
        <v>9.68</v>
      </c>
    </row>
    <row r="9" spans="1:8" ht="18" customHeight="1"/>
    <row r="10" spans="1:8" ht="18" customHeight="1"/>
    <row r="11" spans="1:8" ht="18" customHeight="1"/>
    <row r="12" spans="1:8" ht="18" customHeight="1"/>
    <row r="13" spans="1:8" ht="18" customHeight="1"/>
    <row r="14" spans="1:8" ht="18" customHeight="1"/>
    <row r="15" spans="1:8" ht="18" customHeight="1"/>
    <row r="16" spans="1:8" ht="18" customHeight="1"/>
  </sheetData>
  <mergeCells count="1">
    <mergeCell ref="A1:B1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H16"/>
  <sheetViews>
    <sheetView workbookViewId="0">
      <selection activeCell="K8" sqref="K8"/>
    </sheetView>
  </sheetViews>
  <sheetFormatPr defaultRowHeight="12.75"/>
  <cols>
    <col min="1" max="1" width="3.33203125" style="15" customWidth="1"/>
    <col min="2" max="2" width="34.1640625" style="15" customWidth="1"/>
    <col min="3" max="3" width="17.5" style="15" customWidth="1"/>
    <col min="4" max="5" width="17.83203125" style="15" customWidth="1"/>
    <col min="6" max="6" width="17.5" style="15" customWidth="1"/>
    <col min="7" max="7" width="9.33203125" style="15"/>
    <col min="8" max="8" width="14.1640625" style="15" bestFit="1" customWidth="1"/>
    <col min="9" max="16384" width="9.33203125" style="15"/>
  </cols>
  <sheetData>
    <row r="1" spans="1:8" ht="18" customHeight="1">
      <c r="A1" s="26" t="s">
        <v>20</v>
      </c>
      <c r="B1" s="27"/>
      <c r="C1" s="20" t="s">
        <v>13</v>
      </c>
      <c r="D1" s="20" t="s">
        <v>14</v>
      </c>
      <c r="E1" s="21" t="s">
        <v>15</v>
      </c>
      <c r="F1" s="22" t="s">
        <v>16</v>
      </c>
      <c r="H1" s="15" t="s">
        <v>27</v>
      </c>
    </row>
    <row r="2" spans="1:8" ht="18" customHeight="1">
      <c r="A2" s="5">
        <v>1</v>
      </c>
      <c r="B2" s="23" t="s">
        <v>6</v>
      </c>
      <c r="C2" s="5">
        <v>50</v>
      </c>
      <c r="D2" s="5">
        <v>49.9</v>
      </c>
      <c r="E2" s="6">
        <v>49.9</v>
      </c>
      <c r="F2" s="9">
        <v>149.80000000000001</v>
      </c>
      <c r="G2">
        <f t="shared" ref="G2:G8" si="0">F2/COUNTIF(C2:E2,"&lt;&gt;0")</f>
        <v>49.933333333333337</v>
      </c>
      <c r="H2">
        <f t="shared" ref="H2:H8" si="1">G2/5</f>
        <v>9.9866666666666681</v>
      </c>
    </row>
    <row r="3" spans="1:8" ht="18" customHeight="1">
      <c r="A3" s="3"/>
      <c r="B3" s="18" t="s">
        <v>5</v>
      </c>
      <c r="C3" s="7">
        <v>49.8</v>
      </c>
      <c r="D3" s="7">
        <v>50</v>
      </c>
      <c r="E3" s="8">
        <v>50</v>
      </c>
      <c r="F3" s="10">
        <v>149.80000000000001</v>
      </c>
      <c r="G3">
        <f t="shared" si="0"/>
        <v>49.933333333333337</v>
      </c>
      <c r="H3">
        <f t="shared" si="1"/>
        <v>9.9866666666666681</v>
      </c>
    </row>
    <row r="4" spans="1:8" ht="18" customHeight="1">
      <c r="A4" s="3">
        <v>3</v>
      </c>
      <c r="B4" s="18" t="s">
        <v>18</v>
      </c>
      <c r="C4" s="7">
        <v>49.6</v>
      </c>
      <c r="D4" s="7">
        <v>49.9</v>
      </c>
      <c r="E4" s="8">
        <v>50</v>
      </c>
      <c r="F4" s="10">
        <v>149.5</v>
      </c>
      <c r="G4">
        <f t="shared" si="0"/>
        <v>49.833333333333336</v>
      </c>
      <c r="H4">
        <f t="shared" si="1"/>
        <v>9.9666666666666668</v>
      </c>
    </row>
    <row r="5" spans="1:8" ht="18" customHeight="1">
      <c r="A5" s="3">
        <v>4</v>
      </c>
      <c r="B5" s="18" t="s">
        <v>8</v>
      </c>
      <c r="C5" s="7">
        <v>49.5</v>
      </c>
      <c r="D5" s="7">
        <v>49.4</v>
      </c>
      <c r="E5" s="8">
        <v>49.9</v>
      </c>
      <c r="F5" s="10">
        <v>148.80000000000001</v>
      </c>
      <c r="G5">
        <f t="shared" si="0"/>
        <v>49.6</v>
      </c>
      <c r="H5">
        <f t="shared" si="1"/>
        <v>9.92</v>
      </c>
    </row>
    <row r="6" spans="1:8" ht="18" customHeight="1">
      <c r="A6" s="3">
        <v>5</v>
      </c>
      <c r="B6" s="18" t="s">
        <v>9</v>
      </c>
      <c r="C6" s="7">
        <v>49.5</v>
      </c>
      <c r="D6" s="7">
        <v>49.4</v>
      </c>
      <c r="E6" s="8">
        <v>49.5</v>
      </c>
      <c r="F6" s="10">
        <v>148.4</v>
      </c>
      <c r="G6">
        <f t="shared" si="0"/>
        <v>49.466666666666669</v>
      </c>
      <c r="H6">
        <f t="shared" si="1"/>
        <v>9.8933333333333344</v>
      </c>
    </row>
    <row r="7" spans="1:8" ht="18" customHeight="1">
      <c r="A7" s="3">
        <v>6</v>
      </c>
      <c r="B7" s="18" t="s">
        <v>10</v>
      </c>
      <c r="C7" s="7">
        <v>49.9</v>
      </c>
      <c r="D7" s="7">
        <v>49.6</v>
      </c>
      <c r="E7" s="24" t="s">
        <v>11</v>
      </c>
      <c r="F7" s="10">
        <v>99.5</v>
      </c>
      <c r="G7">
        <f>F7/2</f>
        <v>49.75</v>
      </c>
      <c r="H7">
        <f t="shared" si="1"/>
        <v>9.9499999999999993</v>
      </c>
    </row>
    <row r="8" spans="1:8" ht="18" customHeight="1">
      <c r="A8" s="3">
        <v>7</v>
      </c>
      <c r="B8" s="18" t="s">
        <v>12</v>
      </c>
      <c r="C8" s="7">
        <v>50</v>
      </c>
      <c r="D8" s="25" t="s">
        <v>11</v>
      </c>
      <c r="E8" s="24" t="s">
        <v>11</v>
      </c>
      <c r="F8" s="10">
        <v>50</v>
      </c>
      <c r="G8" s="15">
        <f>F8</f>
        <v>50</v>
      </c>
      <c r="H8">
        <f t="shared" si="1"/>
        <v>10</v>
      </c>
    </row>
    <row r="9" spans="1:8" ht="18" customHeight="1"/>
    <row r="10" spans="1:8" ht="18" customHeight="1"/>
    <row r="11" spans="1:8" ht="18" customHeight="1"/>
    <row r="12" spans="1:8" ht="18" customHeight="1"/>
    <row r="13" spans="1:8" ht="18" customHeight="1"/>
    <row r="14" spans="1:8" ht="18" customHeight="1"/>
    <row r="15" spans="1:8" ht="18" customHeight="1"/>
    <row r="16" spans="1:8" ht="18" customHeight="1"/>
  </sheetData>
  <mergeCells count="1"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7</vt:i4>
      </vt:variant>
    </vt:vector>
  </HeadingPairs>
  <TitlesOfParts>
    <vt:vector size="7" baseType="lpstr">
      <vt:lpstr>TOTAL</vt:lpstr>
      <vt:lpstr>COREOGRAFIA</vt:lpstr>
      <vt:lpstr>MARCAÇÃO</vt:lpstr>
      <vt:lpstr>ANIMAÇÃO</vt:lpstr>
      <vt:lpstr>FIGURINOS</vt:lpstr>
      <vt:lpstr>CASAL DE NOIVOS</vt:lpstr>
      <vt:lpstr>TRILHA SONORA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Tiago</cp:lastModifiedBy>
  <dcterms:created xsi:type="dcterms:W3CDTF">2026-03-12T20:35:00Z</dcterms:created>
  <dcterms:modified xsi:type="dcterms:W3CDTF">2026-04-30T23:46:13Z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eated">
    <vt:filetime>2026-02-02T00:00:00Z</vt:filetime>
  </property>
  <property fmtid="{D5CDD505-2E9C-101B-9397-08002B2CF9AE}" pid="3" name="Creator">
    <vt:lpwstr>www.smallpdf.com</vt:lpwstr>
  </property>
  <property fmtid="{D5CDD505-2E9C-101B-9397-08002B2CF9AE}" pid="4" name="LastSaved">
    <vt:filetime>2026-03-12T00:00:00Z</vt:filetime>
  </property>
  <property fmtid="{D5CDD505-2E9C-101B-9397-08002B2CF9AE}" pid="5" name="Producer">
    <vt:lpwstr>www.smallpdf.com</vt:lpwstr>
  </property>
</Properties>
</file>
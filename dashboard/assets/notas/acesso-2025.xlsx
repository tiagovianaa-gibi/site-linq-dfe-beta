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site-linq-dfe-beta\dashboard\assets\notas\"/>
    </mc:Choice>
  </mc:AlternateContent>
  <xr:revisionPtr revIDLastSave="0" documentId="13_ncr:20001_{B91CEC3C-2277-43EC-87E8-E0647345D95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OTAL" sheetId="19" r:id="rId1"/>
    <sheet name="COREOGRAFIA" sheetId="26" r:id="rId2"/>
    <sheet name="MARCAÇÃO" sheetId="27" r:id="rId3"/>
    <sheet name="ANIMAÇÃO" sheetId="28" r:id="rId4"/>
    <sheet name="FIGURINO" sheetId="29" r:id="rId5"/>
    <sheet name="CASAL DE NOIVOS" sheetId="30" r:id="rId6"/>
    <sheet name="TRILHA SONORA" sheetId="31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9" l="1"/>
  <c r="H11" i="19"/>
  <c r="I11" i="19" s="1"/>
  <c r="F4" i="26"/>
  <c r="F4" i="27"/>
  <c r="F4" i="28"/>
  <c r="F4" i="29"/>
  <c r="F4" i="30"/>
  <c r="F4" i="31"/>
  <c r="E11" i="31"/>
  <c r="F11" i="31" s="1"/>
  <c r="G11" i="31" s="1"/>
  <c r="E10" i="31"/>
  <c r="F10" i="31" s="1"/>
  <c r="G10" i="31" s="1"/>
  <c r="E9" i="31"/>
  <c r="F9" i="31" s="1"/>
  <c r="G9" i="31" s="1"/>
  <c r="E8" i="31"/>
  <c r="F8" i="31" s="1"/>
  <c r="G8" i="31" s="1"/>
  <c r="E7" i="31"/>
  <c r="F7" i="31" s="1"/>
  <c r="G7" i="31" s="1"/>
  <c r="E6" i="31"/>
  <c r="F6" i="31" s="1"/>
  <c r="G6" i="31" s="1"/>
  <c r="E5" i="31"/>
  <c r="F5" i="31" s="1"/>
  <c r="G5" i="31" s="1"/>
  <c r="E4" i="31"/>
  <c r="E3" i="31"/>
  <c r="F3" i="31" s="1"/>
  <c r="G3" i="31" s="1"/>
  <c r="E2" i="31"/>
  <c r="F2" i="31" s="1"/>
  <c r="G2" i="31" s="1"/>
  <c r="E11" i="30"/>
  <c r="F11" i="30" s="1"/>
  <c r="G11" i="30" s="1"/>
  <c r="E10" i="30"/>
  <c r="F10" i="30" s="1"/>
  <c r="G10" i="30" s="1"/>
  <c r="E9" i="30"/>
  <c r="F9" i="30" s="1"/>
  <c r="G9" i="30" s="1"/>
  <c r="E8" i="30"/>
  <c r="F8" i="30" s="1"/>
  <c r="G8" i="30" s="1"/>
  <c r="E7" i="30"/>
  <c r="F7" i="30" s="1"/>
  <c r="G7" i="30" s="1"/>
  <c r="E6" i="30"/>
  <c r="F6" i="30" s="1"/>
  <c r="G6" i="30" s="1"/>
  <c r="E5" i="30"/>
  <c r="F5" i="30" s="1"/>
  <c r="G5" i="30" s="1"/>
  <c r="E4" i="30"/>
  <c r="G4" i="30" s="1"/>
  <c r="E3" i="30"/>
  <c r="F3" i="30" s="1"/>
  <c r="G3" i="30" s="1"/>
  <c r="E2" i="30"/>
  <c r="F2" i="30" s="1"/>
  <c r="G2" i="30" s="1"/>
  <c r="E11" i="29"/>
  <c r="F11" i="29" s="1"/>
  <c r="G11" i="29" s="1"/>
  <c r="E10" i="29"/>
  <c r="F10" i="29" s="1"/>
  <c r="G10" i="29" s="1"/>
  <c r="E9" i="29"/>
  <c r="F9" i="29" s="1"/>
  <c r="G9" i="29" s="1"/>
  <c r="E8" i="29"/>
  <c r="F8" i="29" s="1"/>
  <c r="G8" i="29" s="1"/>
  <c r="E7" i="29"/>
  <c r="F7" i="29" s="1"/>
  <c r="G7" i="29" s="1"/>
  <c r="E6" i="29"/>
  <c r="F6" i="29" s="1"/>
  <c r="G6" i="29" s="1"/>
  <c r="E5" i="29"/>
  <c r="F5" i="29" s="1"/>
  <c r="G5" i="29" s="1"/>
  <c r="E4" i="29"/>
  <c r="G4" i="29" s="1"/>
  <c r="E3" i="29"/>
  <c r="F3" i="29" s="1"/>
  <c r="G3" i="29" s="1"/>
  <c r="E2" i="29"/>
  <c r="F2" i="29" s="1"/>
  <c r="G2" i="29" s="1"/>
  <c r="E11" i="28"/>
  <c r="F11" i="28" s="1"/>
  <c r="G11" i="28" s="1"/>
  <c r="E10" i="28"/>
  <c r="F10" i="28" s="1"/>
  <c r="G10" i="28" s="1"/>
  <c r="E9" i="28"/>
  <c r="F9" i="28" s="1"/>
  <c r="G9" i="28" s="1"/>
  <c r="E8" i="28"/>
  <c r="F8" i="28" s="1"/>
  <c r="G8" i="28" s="1"/>
  <c r="E7" i="28"/>
  <c r="F7" i="28" s="1"/>
  <c r="G7" i="28" s="1"/>
  <c r="E6" i="28"/>
  <c r="F6" i="28" s="1"/>
  <c r="G6" i="28" s="1"/>
  <c r="E5" i="28"/>
  <c r="F5" i="28" s="1"/>
  <c r="G5" i="28" s="1"/>
  <c r="E4" i="28"/>
  <c r="G4" i="28" s="1"/>
  <c r="E3" i="28"/>
  <c r="F3" i="28" s="1"/>
  <c r="G3" i="28" s="1"/>
  <c r="E2" i="28"/>
  <c r="F2" i="28" s="1"/>
  <c r="G2" i="28" s="1"/>
  <c r="E11" i="27"/>
  <c r="F11" i="27" s="1"/>
  <c r="G11" i="27" s="1"/>
  <c r="E10" i="27"/>
  <c r="F10" i="27" s="1"/>
  <c r="G10" i="27" s="1"/>
  <c r="E9" i="27"/>
  <c r="F9" i="27" s="1"/>
  <c r="G9" i="27" s="1"/>
  <c r="E8" i="27"/>
  <c r="F8" i="27" s="1"/>
  <c r="G8" i="27" s="1"/>
  <c r="E7" i="27"/>
  <c r="F7" i="27" s="1"/>
  <c r="G7" i="27" s="1"/>
  <c r="E6" i="27"/>
  <c r="F6" i="27" s="1"/>
  <c r="G6" i="27" s="1"/>
  <c r="E5" i="27"/>
  <c r="F5" i="27" s="1"/>
  <c r="G5" i="27" s="1"/>
  <c r="E4" i="27"/>
  <c r="E3" i="27"/>
  <c r="F3" i="27" s="1"/>
  <c r="G3" i="27" s="1"/>
  <c r="E2" i="27"/>
  <c r="F2" i="27" s="1"/>
  <c r="G2" i="27" s="1"/>
  <c r="G6" i="26"/>
  <c r="G7" i="26"/>
  <c r="G4" i="26"/>
  <c r="F3" i="26"/>
  <c r="G3" i="26" s="1"/>
  <c r="F5" i="26"/>
  <c r="G5" i="26" s="1"/>
  <c r="F6" i="26"/>
  <c r="F7" i="26"/>
  <c r="F8" i="26"/>
  <c r="G8" i="26" s="1"/>
  <c r="F9" i="26"/>
  <c r="G9" i="26" s="1"/>
  <c r="F10" i="26"/>
  <c r="G10" i="26" s="1"/>
  <c r="F11" i="26"/>
  <c r="G11" i="26" s="1"/>
  <c r="F2" i="26"/>
  <c r="G2" i="26" s="1"/>
  <c r="E3" i="26"/>
  <c r="E4" i="26"/>
  <c r="E5" i="26"/>
  <c r="E6" i="26"/>
  <c r="E7" i="26"/>
  <c r="E8" i="26"/>
  <c r="E9" i="26"/>
  <c r="E10" i="26"/>
  <c r="E11" i="26"/>
  <c r="E2" i="26"/>
  <c r="H5" i="19"/>
  <c r="I5" i="19" s="1"/>
  <c r="H6" i="19"/>
  <c r="I6" i="19" s="1"/>
  <c r="H7" i="19"/>
  <c r="I7" i="19" s="1"/>
  <c r="G3" i="19"/>
  <c r="H3" i="19" s="1"/>
  <c r="I3" i="19" s="1"/>
  <c r="G4" i="19"/>
  <c r="H4" i="19" s="1"/>
  <c r="I4" i="19" s="1"/>
  <c r="G5" i="19"/>
  <c r="G6" i="19"/>
  <c r="G7" i="19"/>
  <c r="G8" i="19"/>
  <c r="H8" i="19" s="1"/>
  <c r="I8" i="19" s="1"/>
  <c r="G9" i="19"/>
  <c r="H9" i="19" s="1"/>
  <c r="I9" i="19" s="1"/>
  <c r="G10" i="19"/>
  <c r="H10" i="19" s="1"/>
  <c r="I10" i="19" s="1"/>
  <c r="G2" i="19"/>
  <c r="H2" i="19" s="1"/>
  <c r="I2" i="19" s="1"/>
  <c r="G4" i="27" l="1"/>
  <c r="G4" i="31"/>
</calcChain>
</file>

<file path=xl/sharedStrings.xml><?xml version="1.0" encoding="utf-8"?>
<sst xmlns="http://schemas.openxmlformats.org/spreadsheetml/2006/main" count="120" uniqueCount="27">
  <si>
    <r>
      <rPr>
        <b/>
        <sz val="14"/>
        <rFont val="Calibri"/>
        <family val="1"/>
      </rPr>
      <t>C</t>
    </r>
  </si>
  <si>
    <r>
      <rPr>
        <b/>
        <sz val="14"/>
        <rFont val="Calibri"/>
        <family val="1"/>
      </rPr>
      <t>QUADRILHAS</t>
    </r>
  </si>
  <si>
    <r>
      <rPr>
        <b/>
        <sz val="14"/>
        <rFont val="Calibri"/>
        <family val="1"/>
      </rPr>
      <t>1ª ETAPA</t>
    </r>
  </si>
  <si>
    <r>
      <rPr>
        <b/>
        <sz val="14"/>
        <rFont val="Calibri"/>
        <family val="1"/>
      </rPr>
      <t>2ª ETAPA</t>
    </r>
  </si>
  <si>
    <r>
      <rPr>
        <b/>
        <sz val="14"/>
        <rFont val="Calibri"/>
        <family val="1"/>
      </rPr>
      <t>3ª ETAPA</t>
    </r>
  </si>
  <si>
    <r>
      <rPr>
        <b/>
        <sz val="14"/>
        <rFont val="Calibri"/>
        <family val="1"/>
      </rPr>
      <t>TOTAL</t>
    </r>
  </si>
  <si>
    <r>
      <rPr>
        <b/>
        <sz val="14"/>
        <rFont val="Calibri"/>
        <family val="1"/>
      </rPr>
      <t>JUNINA MATULÃO</t>
    </r>
  </si>
  <si>
    <r>
      <rPr>
        <sz val="14"/>
        <rFont val="Calibri"/>
        <family val="1"/>
      </rPr>
      <t>CHINELO DE COURO</t>
    </r>
  </si>
  <si>
    <r>
      <rPr>
        <sz val="14"/>
        <rFont val="Calibri"/>
        <family val="1"/>
      </rPr>
      <t>XIQUE XIQUE</t>
    </r>
  </si>
  <si>
    <r>
      <rPr>
        <sz val="14"/>
        <rFont val="Calibri"/>
        <family val="1"/>
      </rPr>
      <t>OS CABOCLOS DO SERTÃO</t>
    </r>
  </si>
  <si>
    <r>
      <rPr>
        <sz val="14"/>
        <rFont val="Calibri"/>
        <family val="1"/>
      </rPr>
      <t>FORNALHA</t>
    </r>
  </si>
  <si>
    <r>
      <rPr>
        <sz val="14"/>
        <rFont val="Calibri"/>
        <family val="1"/>
      </rPr>
      <t>MATINGUEIROS DO SERTÃO</t>
    </r>
  </si>
  <si>
    <r>
      <rPr>
        <sz val="14"/>
        <rFont val="Calibri"/>
        <family val="1"/>
      </rPr>
      <t>XEM NHEM NHEM</t>
    </r>
  </si>
  <si>
    <r>
      <rPr>
        <sz val="14"/>
        <rFont val="Calibri"/>
        <family val="1"/>
      </rPr>
      <t>SOL DE MARIA</t>
    </r>
  </si>
  <si>
    <r>
      <rPr>
        <sz val="14"/>
        <rFont val="Calibri"/>
        <family val="1"/>
      </rPr>
      <t>TENGO LENGO</t>
    </r>
  </si>
  <si>
    <r>
      <rPr>
        <sz val="14"/>
        <rFont val="Calibri"/>
        <family val="1"/>
      </rPr>
      <t>FURACÃO</t>
    </r>
  </si>
  <si>
    <r>
      <rPr>
        <sz val="14"/>
        <rFont val="Calibri"/>
        <family val="1"/>
      </rPr>
      <t>Desclas.</t>
    </r>
  </si>
  <si>
    <t>1 ETAPA</t>
  </si>
  <si>
    <r>
      <rPr>
        <sz val="14"/>
        <rFont val="Calibri"/>
        <family val="1"/>
      </rPr>
      <t>JUNINA MATULÃO</t>
    </r>
  </si>
  <si>
    <t>2 ETAPA</t>
  </si>
  <si>
    <r>
      <rPr>
        <sz val="14"/>
        <rFont val="Calibri"/>
        <family val="1"/>
      </rPr>
      <t>Desclassificação</t>
    </r>
  </si>
  <si>
    <t>Desclassificação</t>
  </si>
  <si>
    <t>3 ETAPA</t>
  </si>
  <si>
    <t>QUADRILHA</t>
  </si>
  <si>
    <t>TOTAL</t>
  </si>
  <si>
    <t>MÉDIA REAL</t>
  </si>
  <si>
    <t>média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</si>
</sst>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 x14ac:knownFonts="1">
    <font>
      <sz val="10"/>
      <color rgb="FF000000"/>
      <name val="Times New Roman"/>
      <charset val="204"/>
    </font>
    <font>
      <b/>
      <sz val="14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b/>
      <sz val="14"/>
      <name val="Calibri"/>
      <family val="1"/>
    </font>
    <font>
      <sz val="14"/>
      <name val="Calibri"/>
      <family val="1"/>
    </font>
    <font>
      <sz val="14"/>
      <color rgb="FF000000"/>
      <name val="Times New Roman"/>
      <family val="1"/>
    </font>
    <font>
      <sz val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09079"/>
      </patternFill>
    </fill>
    <fill>
      <patternFill patternType="solid">
        <fgColor rgb="FFEBD1B1"/>
      </patternFill>
    </fill>
    <fill>
      <patternFill patternType="solid">
        <fgColor rgb="FFEB701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 indent="5"/>
    </xf>
    <xf numFmtId="0" fontId="1" fillId="0" borderId="1" xfId="0" applyFont="1" applyBorder="1" applyAlignment="1">
      <alignment horizontal="left" vertical="top" wrapText="1" indent="2"/>
    </xf>
    <xf numFmtId="1" fontId="2" fillId="4" borderId="1" xfId="0" applyNumberFormat="1" applyFont="1" applyFill="1" applyBorder="1" applyAlignment="1">
      <alignment horizontal="right" vertical="top" shrinkToFit="1"/>
    </xf>
    <xf numFmtId="0" fontId="1" fillId="4" borderId="1" xfId="0" applyFont="1" applyFill="1" applyBorder="1" applyAlignment="1">
      <alignment horizontal="left" vertical="top" wrapText="1"/>
    </xf>
    <xf numFmtId="164" fontId="2" fillId="4" borderId="1" xfId="0" applyNumberFormat="1" applyFont="1" applyFill="1" applyBorder="1" applyAlignment="1">
      <alignment horizontal="left" vertical="top" shrinkToFit="1"/>
    </xf>
    <xf numFmtId="164" fontId="2" fillId="4" borderId="1" xfId="0" applyNumberFormat="1" applyFont="1" applyFill="1" applyBorder="1" applyAlignment="1">
      <alignment horizontal="right" vertical="top" shrinkToFit="1"/>
    </xf>
    <xf numFmtId="1" fontId="3" fillId="3" borderId="1" xfId="0" applyNumberFormat="1" applyFont="1" applyFill="1" applyBorder="1" applyAlignment="1">
      <alignment horizontal="right" vertical="top" shrinkToFit="1"/>
    </xf>
    <xf numFmtId="0" fontId="4" fillId="3" borderId="1" xfId="0" applyFont="1" applyFill="1" applyBorder="1" applyAlignment="1">
      <alignment horizontal="left" vertical="top" wrapText="1"/>
    </xf>
    <xf numFmtId="164" fontId="3" fillId="3" borderId="1" xfId="0" applyNumberFormat="1" applyFont="1" applyFill="1" applyBorder="1" applyAlignment="1">
      <alignment horizontal="left" vertical="top" shrinkToFit="1"/>
    </xf>
    <xf numFmtId="164" fontId="3" fillId="3" borderId="1" xfId="0" applyNumberFormat="1" applyFont="1" applyFill="1" applyBorder="1" applyAlignment="1">
      <alignment horizontal="right" vertical="top" shrinkToFit="1"/>
    </xf>
    <xf numFmtId="1" fontId="3" fillId="0" borderId="1" xfId="0" applyNumberFormat="1" applyFont="1" applyBorder="1" applyAlignment="1">
      <alignment horizontal="right" vertical="top" shrinkToFit="1"/>
    </xf>
    <xf numFmtId="0" fontId="4" fillId="0" borderId="1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1" xfId="0" applyNumberFormat="1" applyFont="1" applyBorder="1" applyAlignment="1">
      <alignment horizontal="right" vertical="top" shrinkToFit="1"/>
    </xf>
    <xf numFmtId="0" fontId="7" fillId="0" borderId="0" xfId="0" applyFont="1" applyAlignment="1">
      <alignment horizontal="left" vertical="top"/>
    </xf>
    <xf numFmtId="0" fontId="4" fillId="0" borderId="0" xfId="0" applyFont="1" applyAlignment="1">
      <alignment vertical="top" wrapText="1"/>
    </xf>
    <xf numFmtId="164" fontId="4" fillId="0" borderId="1" xfId="0" applyNumberFormat="1" applyFont="1" applyBorder="1" applyAlignment="1">
      <alignment horizontal="left" vertical="top" wrapText="1"/>
    </xf>
    <xf numFmtId="165" fontId="2" fillId="2" borderId="1" xfId="0" applyNumberFormat="1" applyFont="1" applyFill="1" applyBorder="1" applyAlignment="1">
      <alignment horizontal="center" vertical="top" shrinkToFit="1"/>
    </xf>
    <xf numFmtId="165" fontId="7" fillId="0" borderId="0" xfId="0" applyNumberFormat="1" applyFont="1" applyAlignment="1">
      <alignment horizontal="left" vertical="top"/>
    </xf>
    <xf numFmtId="165" fontId="4" fillId="0" borderId="1" xfId="0" applyNumberFormat="1" applyFont="1" applyBorder="1" applyAlignment="1">
      <alignment vertical="top" wrapText="1"/>
    </xf>
    <xf numFmtId="165" fontId="2" fillId="2" borderId="2" xfId="0" applyNumberFormat="1" applyFont="1" applyFill="1" applyBorder="1" applyAlignment="1">
      <alignment horizontal="center" vertical="top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1"/>
  <sheetViews>
    <sheetView tabSelected="1" workbookViewId="0">
      <selection activeCell="H11" sqref="H11"/>
    </sheetView>
  </sheetViews>
  <sheetFormatPr defaultRowHeight="12.75" x14ac:dyDescent="0.2"/>
  <cols>
    <col min="1" max="1" width="4.1640625" customWidth="1"/>
    <col min="2" max="2" width="38.1640625" customWidth="1"/>
    <col min="3" max="5" width="15.1640625" customWidth="1"/>
    <col min="6" max="6" width="16" customWidth="1"/>
  </cols>
  <sheetData>
    <row r="1" spans="1:9" ht="27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I1" t="s">
        <v>26</v>
      </c>
    </row>
    <row r="2" spans="1:9" ht="27" customHeight="1" x14ac:dyDescent="0.2">
      <c r="A2" s="4">
        <v>1</v>
      </c>
      <c r="B2" s="5" t="s">
        <v>6</v>
      </c>
      <c r="C2" s="6">
        <v>179.3</v>
      </c>
      <c r="D2" s="6">
        <v>178.8</v>
      </c>
      <c r="E2" s="6">
        <v>179.5</v>
      </c>
      <c r="F2" s="7">
        <v>537.6</v>
      </c>
      <c r="G2">
        <f t="shared" ref="G2:G11" si="0">F2/COUNTIF(C2:E2,"&lt;&gt;0")</f>
        <v>179.20000000000002</v>
      </c>
      <c r="H2">
        <f t="shared" ref="H2:H11" si="1">G2/6</f>
        <v>29.866666666666671</v>
      </c>
      <c r="I2">
        <f t="shared" ref="I2:I11" si="2">H2/3</f>
        <v>9.9555555555555575</v>
      </c>
    </row>
    <row r="3" spans="1:9" ht="27" customHeight="1" x14ac:dyDescent="0.2">
      <c r="A3" s="8">
        <v>2</v>
      </c>
      <c r="B3" s="9" t="s">
        <v>7</v>
      </c>
      <c r="C3" s="10">
        <v>178.5</v>
      </c>
      <c r="D3" s="10">
        <v>179.5</v>
      </c>
      <c r="E3" s="10">
        <v>177.6</v>
      </c>
      <c r="F3" s="11">
        <v>535.6</v>
      </c>
      <c r="G3">
        <f t="shared" si="0"/>
        <v>178.53333333333333</v>
      </c>
      <c r="H3">
        <f t="shared" si="1"/>
        <v>29.755555555555556</v>
      </c>
      <c r="I3">
        <f t="shared" si="2"/>
        <v>9.9185185185185194</v>
      </c>
    </row>
    <row r="4" spans="1:9" ht="27" customHeight="1" x14ac:dyDescent="0.2">
      <c r="A4" s="8">
        <v>3</v>
      </c>
      <c r="B4" s="9" t="s">
        <v>8</v>
      </c>
      <c r="C4" s="10">
        <v>178.1</v>
      </c>
      <c r="D4" s="10">
        <v>177.7</v>
      </c>
      <c r="E4" s="10">
        <v>179.6</v>
      </c>
      <c r="F4" s="11">
        <v>535.4</v>
      </c>
      <c r="G4">
        <f t="shared" si="0"/>
        <v>178.46666666666667</v>
      </c>
      <c r="H4">
        <f t="shared" si="1"/>
        <v>29.744444444444444</v>
      </c>
      <c r="I4">
        <f t="shared" si="2"/>
        <v>9.9148148148148145</v>
      </c>
    </row>
    <row r="5" spans="1:9" ht="27" customHeight="1" x14ac:dyDescent="0.2">
      <c r="A5" s="12">
        <v>4</v>
      </c>
      <c r="B5" s="13" t="s">
        <v>9</v>
      </c>
      <c r="C5" s="14">
        <v>178.6</v>
      </c>
      <c r="D5" s="14">
        <v>178.7</v>
      </c>
      <c r="E5" s="14">
        <v>176.5</v>
      </c>
      <c r="F5" s="15">
        <v>533.79999999999995</v>
      </c>
      <c r="G5">
        <f t="shared" si="0"/>
        <v>177.93333333333331</v>
      </c>
      <c r="H5">
        <f t="shared" si="1"/>
        <v>29.655555555555551</v>
      </c>
      <c r="I5">
        <f t="shared" si="2"/>
        <v>9.8851851851851844</v>
      </c>
    </row>
    <row r="6" spans="1:9" ht="27" customHeight="1" x14ac:dyDescent="0.2">
      <c r="A6" s="12">
        <v>5</v>
      </c>
      <c r="B6" s="13" t="s">
        <v>10</v>
      </c>
      <c r="C6" s="14">
        <v>177.1</v>
      </c>
      <c r="D6" s="14">
        <v>177.4</v>
      </c>
      <c r="E6" s="14">
        <v>177.4</v>
      </c>
      <c r="F6" s="15">
        <v>531.9</v>
      </c>
      <c r="G6">
        <f t="shared" si="0"/>
        <v>177.29999999999998</v>
      </c>
      <c r="H6">
        <f t="shared" si="1"/>
        <v>29.549999999999997</v>
      </c>
      <c r="I6">
        <f t="shared" si="2"/>
        <v>9.85</v>
      </c>
    </row>
    <row r="7" spans="1:9" ht="27" customHeight="1" x14ac:dyDescent="0.2">
      <c r="A7" s="12">
        <v>6</v>
      </c>
      <c r="B7" s="13" t="s">
        <v>11</v>
      </c>
      <c r="C7" s="14">
        <v>176.2</v>
      </c>
      <c r="D7" s="14">
        <v>178.4</v>
      </c>
      <c r="E7" s="14">
        <v>177.2</v>
      </c>
      <c r="F7" s="15">
        <v>531.79999999999995</v>
      </c>
      <c r="G7">
        <f t="shared" si="0"/>
        <v>177.26666666666665</v>
      </c>
      <c r="H7">
        <f t="shared" si="1"/>
        <v>29.544444444444441</v>
      </c>
      <c r="I7">
        <f t="shared" si="2"/>
        <v>9.8481481481481463</v>
      </c>
    </row>
    <row r="8" spans="1:9" ht="27" customHeight="1" x14ac:dyDescent="0.2">
      <c r="A8" s="12">
        <v>7</v>
      </c>
      <c r="B8" s="13" t="s">
        <v>12</v>
      </c>
      <c r="C8" s="14">
        <v>176.9</v>
      </c>
      <c r="D8" s="14">
        <v>177.9</v>
      </c>
      <c r="E8" s="14">
        <v>176.2</v>
      </c>
      <c r="F8" s="15">
        <v>531</v>
      </c>
      <c r="G8">
        <f t="shared" si="0"/>
        <v>177</v>
      </c>
      <c r="H8">
        <f t="shared" si="1"/>
        <v>29.5</v>
      </c>
      <c r="I8">
        <f t="shared" si="2"/>
        <v>9.8333333333333339</v>
      </c>
    </row>
    <row r="9" spans="1:9" ht="27" customHeight="1" x14ac:dyDescent="0.2">
      <c r="A9" s="12">
        <v>8</v>
      </c>
      <c r="B9" s="13" t="s">
        <v>13</v>
      </c>
      <c r="C9" s="14">
        <v>176.9</v>
      </c>
      <c r="D9" s="14">
        <v>177.4</v>
      </c>
      <c r="E9" s="14">
        <v>174.6</v>
      </c>
      <c r="F9" s="15">
        <v>528.9</v>
      </c>
      <c r="G9">
        <f t="shared" si="0"/>
        <v>176.29999999999998</v>
      </c>
      <c r="H9">
        <f t="shared" si="1"/>
        <v>29.383333333333329</v>
      </c>
      <c r="I9">
        <f t="shared" si="2"/>
        <v>9.7944444444444425</v>
      </c>
    </row>
    <row r="10" spans="1:9" ht="27" customHeight="1" x14ac:dyDescent="0.2">
      <c r="A10" s="12">
        <v>9</v>
      </c>
      <c r="B10" s="13" t="s">
        <v>14</v>
      </c>
      <c r="C10" s="14">
        <v>175.4</v>
      </c>
      <c r="D10" s="14">
        <v>176.6</v>
      </c>
      <c r="E10" s="14">
        <v>174.7</v>
      </c>
      <c r="F10" s="15">
        <v>526.70000000000005</v>
      </c>
      <c r="G10">
        <f t="shared" si="0"/>
        <v>175.56666666666669</v>
      </c>
      <c r="H10">
        <f t="shared" si="1"/>
        <v>29.261111111111116</v>
      </c>
      <c r="I10">
        <f t="shared" si="2"/>
        <v>9.7537037037037049</v>
      </c>
    </row>
    <row r="11" spans="1:9" ht="27" customHeight="1" x14ac:dyDescent="0.2">
      <c r="A11" s="12">
        <v>10</v>
      </c>
      <c r="B11" s="13" t="s">
        <v>15</v>
      </c>
      <c r="C11" s="14">
        <v>172.5</v>
      </c>
      <c r="D11" s="18" t="s">
        <v>16</v>
      </c>
      <c r="E11" s="14">
        <v>172.9</v>
      </c>
      <c r="F11" s="15">
        <v>345.4</v>
      </c>
      <c r="G11">
        <f>F11/2</f>
        <v>172.7</v>
      </c>
      <c r="H11">
        <f t="shared" si="1"/>
        <v>28.783333333333331</v>
      </c>
      <c r="I11">
        <f t="shared" si="2"/>
        <v>9.5944444444444432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C352C-DD0F-4759-952B-15AC060EF592}">
  <dimension ref="A1:H20"/>
  <sheetViews>
    <sheetView workbookViewId="0">
      <selection activeCell="F4" sqref="F4"/>
    </sheetView>
  </sheetViews>
  <sheetFormatPr defaultColWidth="34.83203125" defaultRowHeight="18.75" x14ac:dyDescent="0.2"/>
  <cols>
    <col min="1" max="1" width="39.1640625" style="16" bestFit="1" customWidth="1"/>
    <col min="2" max="2" width="14" style="16" bestFit="1" customWidth="1"/>
    <col min="3" max="3" width="22.6640625" style="16" bestFit="1" customWidth="1"/>
    <col min="4" max="4" width="14" style="16" bestFit="1" customWidth="1"/>
    <col min="5" max="5" width="11.83203125" style="16" bestFit="1" customWidth="1"/>
    <col min="6" max="6" width="18.33203125" style="16" bestFit="1" customWidth="1"/>
    <col min="7" max="7" width="20.5" style="16" bestFit="1" customWidth="1"/>
    <col min="8" max="16384" width="34.83203125" style="16"/>
  </cols>
  <sheetData>
    <row r="1" spans="1:7" x14ac:dyDescent="0.2">
      <c r="A1" s="16" t="s">
        <v>23</v>
      </c>
      <c r="B1" s="16" t="s">
        <v>17</v>
      </c>
      <c r="C1" s="16" t="s">
        <v>19</v>
      </c>
      <c r="D1" s="16" t="s">
        <v>22</v>
      </c>
      <c r="E1" s="16" t="s">
        <v>24</v>
      </c>
      <c r="G1" s="16" t="s">
        <v>25</v>
      </c>
    </row>
    <row r="2" spans="1:7" x14ac:dyDescent="0.2">
      <c r="A2" s="13" t="s">
        <v>7</v>
      </c>
      <c r="B2" s="19">
        <v>29.5</v>
      </c>
      <c r="C2" s="19">
        <v>29.9</v>
      </c>
      <c r="D2" s="19">
        <v>29.3</v>
      </c>
      <c r="E2" s="20">
        <f>SUM(B2:D2)</f>
        <v>88.7</v>
      </c>
      <c r="F2">
        <f t="shared" ref="F2:F11" si="0">E2/COUNTIF(B2:D2,"&lt;&gt;0")</f>
        <v>29.566666666666666</v>
      </c>
      <c r="G2">
        <f t="shared" ref="G2:G11" si="1">F2/3</f>
        <v>9.8555555555555561</v>
      </c>
    </row>
    <row r="3" spans="1:7" x14ac:dyDescent="0.2">
      <c r="A3" s="13" t="s">
        <v>10</v>
      </c>
      <c r="B3" s="19">
        <v>28.9</v>
      </c>
      <c r="C3" s="19">
        <v>29.3</v>
      </c>
      <c r="D3" s="19">
        <v>29.1</v>
      </c>
      <c r="E3" s="20">
        <f t="shared" ref="E3:E11" si="2">SUM(B3:D3)</f>
        <v>87.300000000000011</v>
      </c>
      <c r="F3">
        <f t="shared" si="0"/>
        <v>29.100000000000005</v>
      </c>
      <c r="G3">
        <f t="shared" si="1"/>
        <v>9.7000000000000011</v>
      </c>
    </row>
    <row r="4" spans="1:7" x14ac:dyDescent="0.2">
      <c r="A4" s="13" t="s">
        <v>15</v>
      </c>
      <c r="B4" s="19">
        <v>28.3</v>
      </c>
      <c r="C4" s="21" t="s">
        <v>20</v>
      </c>
      <c r="D4" s="19">
        <v>28.5</v>
      </c>
      <c r="E4" s="20">
        <f t="shared" si="2"/>
        <v>56.8</v>
      </c>
      <c r="F4">
        <f>E4/2</f>
        <v>28.4</v>
      </c>
      <c r="G4">
        <f t="shared" si="1"/>
        <v>9.4666666666666668</v>
      </c>
    </row>
    <row r="5" spans="1:7" x14ac:dyDescent="0.2">
      <c r="A5" s="13" t="s">
        <v>18</v>
      </c>
      <c r="B5" s="19">
        <v>29.5</v>
      </c>
      <c r="C5" s="19">
        <v>29.6</v>
      </c>
      <c r="D5" s="19">
        <v>29.6</v>
      </c>
      <c r="E5" s="20">
        <f t="shared" si="2"/>
        <v>88.7</v>
      </c>
      <c r="F5">
        <f t="shared" si="0"/>
        <v>29.566666666666666</v>
      </c>
      <c r="G5">
        <f t="shared" si="1"/>
        <v>9.8555555555555561</v>
      </c>
    </row>
    <row r="6" spans="1:7" x14ac:dyDescent="0.2">
      <c r="A6" s="13" t="s">
        <v>11</v>
      </c>
      <c r="B6" s="19">
        <v>29</v>
      </c>
      <c r="C6" s="19">
        <v>29.6</v>
      </c>
      <c r="D6" s="19">
        <v>29.3</v>
      </c>
      <c r="E6" s="20">
        <f t="shared" si="2"/>
        <v>87.9</v>
      </c>
      <c r="F6">
        <f t="shared" si="0"/>
        <v>29.3</v>
      </c>
      <c r="G6">
        <f t="shared" si="1"/>
        <v>9.7666666666666675</v>
      </c>
    </row>
    <row r="7" spans="1:7" x14ac:dyDescent="0.2">
      <c r="A7" s="13" t="s">
        <v>9</v>
      </c>
      <c r="B7" s="19">
        <v>29.3</v>
      </c>
      <c r="C7" s="19">
        <v>29.8</v>
      </c>
      <c r="D7" s="19">
        <v>28.9</v>
      </c>
      <c r="E7" s="20">
        <f t="shared" si="2"/>
        <v>88</v>
      </c>
      <c r="F7">
        <f t="shared" si="0"/>
        <v>29.333333333333332</v>
      </c>
      <c r="G7">
        <f t="shared" si="1"/>
        <v>9.7777777777777768</v>
      </c>
    </row>
    <row r="8" spans="1:7" x14ac:dyDescent="0.2">
      <c r="A8" s="13" t="s">
        <v>13</v>
      </c>
      <c r="B8" s="19">
        <v>29.1</v>
      </c>
      <c r="C8" s="22">
        <v>29.2</v>
      </c>
      <c r="D8" s="19">
        <v>28.5</v>
      </c>
      <c r="E8" s="20">
        <f t="shared" si="2"/>
        <v>86.8</v>
      </c>
      <c r="F8">
        <f t="shared" si="0"/>
        <v>28.933333333333334</v>
      </c>
      <c r="G8">
        <f t="shared" si="1"/>
        <v>9.6444444444444439</v>
      </c>
    </row>
    <row r="9" spans="1:7" x14ac:dyDescent="0.2">
      <c r="A9" s="13" t="s">
        <v>14</v>
      </c>
      <c r="B9" s="19">
        <v>28.8</v>
      </c>
      <c r="C9" s="19">
        <v>29.3</v>
      </c>
      <c r="D9" s="19">
        <v>28.6</v>
      </c>
      <c r="E9" s="20">
        <f t="shared" si="2"/>
        <v>86.7</v>
      </c>
      <c r="F9">
        <f t="shared" si="0"/>
        <v>28.900000000000002</v>
      </c>
      <c r="G9">
        <f t="shared" si="1"/>
        <v>9.6333333333333346</v>
      </c>
    </row>
    <row r="10" spans="1:7" x14ac:dyDescent="0.2">
      <c r="A10" s="13" t="s">
        <v>12</v>
      </c>
      <c r="B10" s="19">
        <v>29</v>
      </c>
      <c r="C10" s="19">
        <v>29.7</v>
      </c>
      <c r="D10" s="19">
        <v>29.1</v>
      </c>
      <c r="E10" s="20">
        <f t="shared" si="2"/>
        <v>87.800000000000011</v>
      </c>
      <c r="F10">
        <f t="shared" si="0"/>
        <v>29.266666666666669</v>
      </c>
      <c r="G10">
        <f t="shared" si="1"/>
        <v>9.7555555555555564</v>
      </c>
    </row>
    <row r="11" spans="1:7" x14ac:dyDescent="0.2">
      <c r="A11" s="13" t="s">
        <v>8</v>
      </c>
      <c r="B11" s="19">
        <v>29.3</v>
      </c>
      <c r="C11" s="19">
        <v>29.2</v>
      </c>
      <c r="D11" s="19">
        <v>29.8</v>
      </c>
      <c r="E11" s="20">
        <f t="shared" si="2"/>
        <v>88.3</v>
      </c>
      <c r="F11">
        <f t="shared" si="0"/>
        <v>29.433333333333334</v>
      </c>
      <c r="G11">
        <f t="shared" si="1"/>
        <v>9.8111111111111118</v>
      </c>
    </row>
    <row r="20" spans="1:8" x14ac:dyDescent="0.2">
      <c r="A20" s="17"/>
      <c r="B20" s="17"/>
      <c r="C20" s="17"/>
      <c r="D20" s="17"/>
      <c r="E20" s="17"/>
      <c r="F20" s="17"/>
      <c r="G20" s="17"/>
      <c r="H20" s="17"/>
    </row>
  </sheetData>
  <phoneticPr fontId="8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15A1B-79A1-4943-8014-F4C16CEE14A3}">
  <dimension ref="A1:H20"/>
  <sheetViews>
    <sheetView workbookViewId="0">
      <selection activeCell="F4" sqref="F4"/>
    </sheetView>
  </sheetViews>
  <sheetFormatPr defaultColWidth="34.83203125" defaultRowHeight="18.75" x14ac:dyDescent="0.2"/>
  <cols>
    <col min="1" max="1" width="39.1640625" style="16" bestFit="1" customWidth="1"/>
    <col min="2" max="2" width="14" style="16" bestFit="1" customWidth="1"/>
    <col min="3" max="3" width="22.6640625" style="16" bestFit="1" customWidth="1"/>
    <col min="4" max="4" width="14" style="16" bestFit="1" customWidth="1"/>
    <col min="5" max="5" width="11.83203125" style="16" bestFit="1" customWidth="1"/>
    <col min="6" max="6" width="18.33203125" style="16" bestFit="1" customWidth="1"/>
    <col min="7" max="7" width="20.5" style="16" bestFit="1" customWidth="1"/>
    <col min="8" max="16384" width="34.83203125" style="16"/>
  </cols>
  <sheetData>
    <row r="1" spans="1:7" x14ac:dyDescent="0.2">
      <c r="A1" s="16" t="s">
        <v>23</v>
      </c>
      <c r="B1" s="16" t="s">
        <v>17</v>
      </c>
      <c r="C1" s="16" t="s">
        <v>19</v>
      </c>
      <c r="D1" s="16" t="s">
        <v>22</v>
      </c>
      <c r="E1" s="16" t="s">
        <v>24</v>
      </c>
      <c r="G1" s="16" t="s">
        <v>25</v>
      </c>
    </row>
    <row r="2" spans="1:7" x14ac:dyDescent="0.2">
      <c r="A2" s="13" t="s">
        <v>7</v>
      </c>
      <c r="B2" s="19">
        <v>29.4</v>
      </c>
      <c r="C2" s="19">
        <v>29.8</v>
      </c>
      <c r="D2" s="19">
        <v>29.4</v>
      </c>
      <c r="E2" s="20">
        <f>SUM(B2:D2)</f>
        <v>88.6</v>
      </c>
      <c r="F2">
        <f t="shared" ref="F2:F11" si="0">E2/COUNTIF(B2:D2,"&lt;&gt;0")</f>
        <v>29.533333333333331</v>
      </c>
      <c r="G2">
        <f t="shared" ref="G2:G11" si="1">F2/3</f>
        <v>9.8444444444444432</v>
      </c>
    </row>
    <row r="3" spans="1:7" x14ac:dyDescent="0.2">
      <c r="A3" s="13" t="s">
        <v>10</v>
      </c>
      <c r="B3" s="19">
        <v>29.3</v>
      </c>
      <c r="C3" s="19">
        <v>29.2</v>
      </c>
      <c r="D3" s="19">
        <v>29.4</v>
      </c>
      <c r="E3" s="20">
        <f t="shared" ref="E3:E11" si="2">SUM(B3:D3)</f>
        <v>87.9</v>
      </c>
      <c r="F3">
        <f t="shared" si="0"/>
        <v>29.3</v>
      </c>
      <c r="G3">
        <f t="shared" si="1"/>
        <v>9.7666666666666675</v>
      </c>
    </row>
    <row r="4" spans="1:7" x14ac:dyDescent="0.2">
      <c r="A4" s="13" t="s">
        <v>15</v>
      </c>
      <c r="B4" s="19">
        <v>28.6</v>
      </c>
      <c r="C4" s="21" t="s">
        <v>21</v>
      </c>
      <c r="D4" s="19">
        <v>28.9</v>
      </c>
      <c r="E4" s="20">
        <f t="shared" si="2"/>
        <v>57.5</v>
      </c>
      <c r="F4">
        <f>E4/2</f>
        <v>28.75</v>
      </c>
      <c r="G4">
        <f t="shared" si="1"/>
        <v>9.5833333333333339</v>
      </c>
    </row>
    <row r="5" spans="1:7" x14ac:dyDescent="0.2">
      <c r="A5" s="13" t="s">
        <v>18</v>
      </c>
      <c r="B5" s="19">
        <v>29.8</v>
      </c>
      <c r="C5" s="19">
        <v>29.9</v>
      </c>
      <c r="D5" s="19">
        <v>30</v>
      </c>
      <c r="E5" s="20">
        <f t="shared" si="2"/>
        <v>89.7</v>
      </c>
      <c r="F5">
        <f t="shared" si="0"/>
        <v>29.900000000000002</v>
      </c>
      <c r="G5">
        <f t="shared" si="1"/>
        <v>9.9666666666666668</v>
      </c>
    </row>
    <row r="6" spans="1:7" x14ac:dyDescent="0.2">
      <c r="A6" s="13" t="s">
        <v>11</v>
      </c>
      <c r="B6" s="19">
        <v>29.6</v>
      </c>
      <c r="C6" s="19">
        <v>29.9</v>
      </c>
      <c r="D6" s="19">
        <v>29.8</v>
      </c>
      <c r="E6" s="20">
        <f t="shared" si="2"/>
        <v>89.3</v>
      </c>
      <c r="F6">
        <f t="shared" si="0"/>
        <v>29.766666666666666</v>
      </c>
      <c r="G6">
        <f t="shared" si="1"/>
        <v>9.9222222222222225</v>
      </c>
    </row>
    <row r="7" spans="1:7" x14ac:dyDescent="0.2">
      <c r="A7" s="13" t="s">
        <v>9</v>
      </c>
      <c r="B7" s="19">
        <v>29.7</v>
      </c>
      <c r="C7" s="19">
        <v>29.6</v>
      </c>
      <c r="D7" s="19">
        <v>29.5</v>
      </c>
      <c r="E7" s="20">
        <f t="shared" si="2"/>
        <v>88.8</v>
      </c>
      <c r="F7">
        <f t="shared" si="0"/>
        <v>29.599999999999998</v>
      </c>
      <c r="G7">
        <f t="shared" si="1"/>
        <v>9.8666666666666654</v>
      </c>
    </row>
    <row r="8" spans="1:7" x14ac:dyDescent="0.2">
      <c r="A8" s="13" t="s">
        <v>13</v>
      </c>
      <c r="B8" s="19">
        <v>29.4</v>
      </c>
      <c r="C8" s="22">
        <v>29.8</v>
      </c>
      <c r="D8" s="19">
        <v>29.3</v>
      </c>
      <c r="E8" s="20">
        <f t="shared" si="2"/>
        <v>88.5</v>
      </c>
      <c r="F8">
        <f t="shared" si="0"/>
        <v>29.5</v>
      </c>
      <c r="G8">
        <f t="shared" si="1"/>
        <v>9.8333333333333339</v>
      </c>
    </row>
    <row r="9" spans="1:7" x14ac:dyDescent="0.2">
      <c r="A9" s="13" t="s">
        <v>14</v>
      </c>
      <c r="B9" s="19">
        <v>28.9</v>
      </c>
      <c r="C9" s="19">
        <v>29.4</v>
      </c>
      <c r="D9" s="19">
        <v>29.2</v>
      </c>
      <c r="E9" s="20">
        <f t="shared" si="2"/>
        <v>87.5</v>
      </c>
      <c r="F9">
        <f t="shared" si="0"/>
        <v>29.166666666666668</v>
      </c>
      <c r="G9">
        <f t="shared" si="1"/>
        <v>9.7222222222222232</v>
      </c>
    </row>
    <row r="10" spans="1:7" x14ac:dyDescent="0.2">
      <c r="A10" s="13" t="s">
        <v>12</v>
      </c>
      <c r="B10" s="19">
        <v>28.8</v>
      </c>
      <c r="C10" s="19">
        <v>29.3</v>
      </c>
      <c r="D10" s="19">
        <v>29</v>
      </c>
      <c r="E10" s="20">
        <f t="shared" si="2"/>
        <v>87.1</v>
      </c>
      <c r="F10">
        <f t="shared" si="0"/>
        <v>29.033333333333331</v>
      </c>
      <c r="G10">
        <f t="shared" si="1"/>
        <v>9.6777777777777771</v>
      </c>
    </row>
    <row r="11" spans="1:7" x14ac:dyDescent="0.2">
      <c r="A11" s="13" t="s">
        <v>8</v>
      </c>
      <c r="B11" s="19">
        <v>29.8</v>
      </c>
      <c r="C11" s="19">
        <v>29.8</v>
      </c>
      <c r="D11" s="19">
        <v>29.9</v>
      </c>
      <c r="E11" s="20">
        <f t="shared" si="2"/>
        <v>89.5</v>
      </c>
      <c r="F11">
        <f t="shared" si="0"/>
        <v>29.833333333333332</v>
      </c>
      <c r="G11">
        <f t="shared" si="1"/>
        <v>9.9444444444444446</v>
      </c>
    </row>
    <row r="20" spans="1:8" x14ac:dyDescent="0.2">
      <c r="A20" s="17"/>
      <c r="B20" s="17"/>
      <c r="C20" s="17"/>
      <c r="D20" s="17"/>
      <c r="E20" s="17"/>
      <c r="F20" s="17"/>
      <c r="G20" s="17"/>
      <c r="H20" s="1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10D3F-B0FA-4F68-B1A8-490746D57296}">
  <dimension ref="A1:H20"/>
  <sheetViews>
    <sheetView workbookViewId="0">
      <selection activeCell="B31" sqref="B31"/>
    </sheetView>
  </sheetViews>
  <sheetFormatPr defaultColWidth="34.83203125" defaultRowHeight="18.75" x14ac:dyDescent="0.2"/>
  <cols>
    <col min="1" max="1" width="39.1640625" style="16" bestFit="1" customWidth="1"/>
    <col min="2" max="2" width="14" style="16" bestFit="1" customWidth="1"/>
    <col min="3" max="3" width="22.6640625" style="16" bestFit="1" customWidth="1"/>
    <col min="4" max="4" width="14" style="16" bestFit="1" customWidth="1"/>
    <col min="5" max="5" width="11.83203125" style="16" bestFit="1" customWidth="1"/>
    <col min="6" max="6" width="18.33203125" style="16" bestFit="1" customWidth="1"/>
    <col min="7" max="7" width="20.5" style="16" bestFit="1" customWidth="1"/>
    <col min="8" max="16384" width="34.83203125" style="16"/>
  </cols>
  <sheetData>
    <row r="1" spans="1:7" x14ac:dyDescent="0.2">
      <c r="A1" s="16" t="s">
        <v>23</v>
      </c>
      <c r="B1" s="16" t="s">
        <v>17</v>
      </c>
      <c r="C1" s="16" t="s">
        <v>19</v>
      </c>
      <c r="D1" s="16" t="s">
        <v>22</v>
      </c>
      <c r="E1" s="16" t="s">
        <v>24</v>
      </c>
      <c r="G1" s="16" t="s">
        <v>25</v>
      </c>
    </row>
    <row r="2" spans="1:7" x14ac:dyDescent="0.2">
      <c r="A2" s="13" t="s">
        <v>7</v>
      </c>
      <c r="B2" s="19">
        <v>29.9</v>
      </c>
      <c r="C2" s="19">
        <v>30</v>
      </c>
      <c r="D2" s="19">
        <v>29.9</v>
      </c>
      <c r="E2" s="20">
        <f>SUM(B2:D2)</f>
        <v>89.8</v>
      </c>
      <c r="F2">
        <f t="shared" ref="F2:F11" si="0">E2/COUNTIF(B2:D2,"&lt;&gt;0")</f>
        <v>29.933333333333334</v>
      </c>
      <c r="G2">
        <f t="shared" ref="G2:G11" si="1">F2/3</f>
        <v>9.9777777777777779</v>
      </c>
    </row>
    <row r="3" spans="1:7" x14ac:dyDescent="0.2">
      <c r="A3" s="13" t="s">
        <v>10</v>
      </c>
      <c r="B3" s="19">
        <v>29.6</v>
      </c>
      <c r="C3" s="19">
        <v>29.7</v>
      </c>
      <c r="D3" s="19">
        <v>29.8</v>
      </c>
      <c r="E3" s="20">
        <f t="shared" ref="E3:E11" si="2">SUM(B3:D3)</f>
        <v>89.1</v>
      </c>
      <c r="F3">
        <f t="shared" si="0"/>
        <v>29.7</v>
      </c>
      <c r="G3">
        <f t="shared" si="1"/>
        <v>9.9</v>
      </c>
    </row>
    <row r="4" spans="1:7" x14ac:dyDescent="0.2">
      <c r="A4" s="13" t="s">
        <v>15</v>
      </c>
      <c r="B4" s="19">
        <v>28.8</v>
      </c>
      <c r="C4" s="21" t="s">
        <v>20</v>
      </c>
      <c r="D4" s="19">
        <v>28.9</v>
      </c>
      <c r="E4" s="20">
        <f t="shared" si="2"/>
        <v>57.7</v>
      </c>
      <c r="F4">
        <f>E4/2</f>
        <v>28.85</v>
      </c>
      <c r="G4">
        <f t="shared" si="1"/>
        <v>9.6166666666666671</v>
      </c>
    </row>
    <row r="5" spans="1:7" x14ac:dyDescent="0.2">
      <c r="A5" s="13" t="s">
        <v>18</v>
      </c>
      <c r="B5" s="19">
        <v>30</v>
      </c>
      <c r="C5" s="19">
        <v>29.7</v>
      </c>
      <c r="D5" s="19">
        <v>30</v>
      </c>
      <c r="E5" s="20">
        <f t="shared" si="2"/>
        <v>89.7</v>
      </c>
      <c r="F5">
        <f t="shared" si="0"/>
        <v>29.900000000000002</v>
      </c>
      <c r="G5">
        <f t="shared" si="1"/>
        <v>9.9666666666666668</v>
      </c>
    </row>
    <row r="6" spans="1:7" x14ac:dyDescent="0.2">
      <c r="A6" s="13" t="s">
        <v>11</v>
      </c>
      <c r="B6" s="19">
        <v>29.2</v>
      </c>
      <c r="C6" s="19">
        <v>29.5</v>
      </c>
      <c r="D6" s="19">
        <v>29.3</v>
      </c>
      <c r="E6" s="20">
        <f t="shared" si="2"/>
        <v>88</v>
      </c>
      <c r="F6">
        <f t="shared" si="0"/>
        <v>29.333333333333332</v>
      </c>
      <c r="G6">
        <f t="shared" si="1"/>
        <v>9.7777777777777768</v>
      </c>
    </row>
    <row r="7" spans="1:7" x14ac:dyDescent="0.2">
      <c r="A7" s="13" t="s">
        <v>9</v>
      </c>
      <c r="B7" s="19">
        <v>29.8</v>
      </c>
      <c r="C7" s="19">
        <v>29.5</v>
      </c>
      <c r="D7" s="19">
        <v>29.5</v>
      </c>
      <c r="E7" s="20">
        <f t="shared" si="2"/>
        <v>88.8</v>
      </c>
      <c r="F7">
        <f t="shared" si="0"/>
        <v>29.599999999999998</v>
      </c>
      <c r="G7">
        <f t="shared" si="1"/>
        <v>9.8666666666666654</v>
      </c>
    </row>
    <row r="8" spans="1:7" x14ac:dyDescent="0.2">
      <c r="A8" s="13" t="s">
        <v>13</v>
      </c>
      <c r="B8" s="19">
        <v>29.4</v>
      </c>
      <c r="C8" s="22">
        <v>29.3</v>
      </c>
      <c r="D8" s="19">
        <v>29</v>
      </c>
      <c r="E8" s="20">
        <f t="shared" si="2"/>
        <v>87.7</v>
      </c>
      <c r="F8">
        <f t="shared" si="0"/>
        <v>29.233333333333334</v>
      </c>
      <c r="G8">
        <f t="shared" si="1"/>
        <v>9.7444444444444454</v>
      </c>
    </row>
    <row r="9" spans="1:7" x14ac:dyDescent="0.2">
      <c r="A9" s="13" t="s">
        <v>14</v>
      </c>
      <c r="B9" s="19">
        <v>29.2</v>
      </c>
      <c r="C9" s="19">
        <v>29.2</v>
      </c>
      <c r="D9" s="19">
        <v>29</v>
      </c>
      <c r="E9" s="20">
        <f t="shared" si="2"/>
        <v>87.4</v>
      </c>
      <c r="F9">
        <f t="shared" si="0"/>
        <v>29.133333333333336</v>
      </c>
      <c r="G9">
        <f t="shared" si="1"/>
        <v>9.7111111111111121</v>
      </c>
    </row>
    <row r="10" spans="1:7" x14ac:dyDescent="0.2">
      <c r="A10" s="13" t="s">
        <v>12</v>
      </c>
      <c r="B10" s="19">
        <v>29.9</v>
      </c>
      <c r="C10" s="19">
        <v>29.6</v>
      </c>
      <c r="D10" s="19">
        <v>29.3</v>
      </c>
      <c r="E10" s="20">
        <f t="shared" si="2"/>
        <v>88.8</v>
      </c>
      <c r="F10">
        <f t="shared" si="0"/>
        <v>29.599999999999998</v>
      </c>
      <c r="G10">
        <f t="shared" si="1"/>
        <v>9.8666666666666654</v>
      </c>
    </row>
    <row r="11" spans="1:7" x14ac:dyDescent="0.2">
      <c r="A11" s="13" t="s">
        <v>8</v>
      </c>
      <c r="B11" s="19">
        <v>30</v>
      </c>
      <c r="C11" s="19">
        <v>29.4</v>
      </c>
      <c r="D11" s="19">
        <v>30</v>
      </c>
      <c r="E11" s="20">
        <f t="shared" si="2"/>
        <v>89.4</v>
      </c>
      <c r="F11">
        <f t="shared" si="0"/>
        <v>29.8</v>
      </c>
      <c r="G11">
        <f t="shared" si="1"/>
        <v>9.9333333333333336</v>
      </c>
    </row>
    <row r="20" spans="1:8" x14ac:dyDescent="0.2">
      <c r="A20" s="17"/>
      <c r="B20" s="17"/>
      <c r="C20" s="17"/>
      <c r="D20" s="17"/>
      <c r="E20" s="17"/>
      <c r="F20" s="17"/>
      <c r="G20" s="17"/>
      <c r="H20" s="1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0F86-ACC3-47BF-A9F6-93904C2D9367}">
  <dimension ref="A1:H20"/>
  <sheetViews>
    <sheetView workbookViewId="0">
      <selection activeCell="F4" sqref="F4"/>
    </sheetView>
  </sheetViews>
  <sheetFormatPr defaultColWidth="34.83203125" defaultRowHeight="18.75" x14ac:dyDescent="0.2"/>
  <cols>
    <col min="1" max="1" width="39.1640625" style="16" bestFit="1" customWidth="1"/>
    <col min="2" max="2" width="14" style="16" bestFit="1" customWidth="1"/>
    <col min="3" max="3" width="22.6640625" style="16" bestFit="1" customWidth="1"/>
    <col min="4" max="4" width="14" style="16" bestFit="1" customWidth="1"/>
    <col min="5" max="5" width="11.83203125" style="16" bestFit="1" customWidth="1"/>
    <col min="6" max="6" width="18.33203125" style="16" bestFit="1" customWidth="1"/>
    <col min="7" max="7" width="20.5" style="16" bestFit="1" customWidth="1"/>
    <col min="8" max="16384" width="34.83203125" style="16"/>
  </cols>
  <sheetData>
    <row r="1" spans="1:7" x14ac:dyDescent="0.2">
      <c r="A1" s="16" t="s">
        <v>23</v>
      </c>
      <c r="B1" s="16" t="s">
        <v>17</v>
      </c>
      <c r="C1" s="16" t="s">
        <v>19</v>
      </c>
      <c r="D1" s="16" t="s">
        <v>22</v>
      </c>
      <c r="E1" s="16" t="s">
        <v>24</v>
      </c>
      <c r="G1" s="16" t="s">
        <v>25</v>
      </c>
    </row>
    <row r="2" spans="1:7" x14ac:dyDescent="0.2">
      <c r="A2" s="13" t="s">
        <v>7</v>
      </c>
      <c r="B2" s="19">
        <v>30</v>
      </c>
      <c r="C2" s="19">
        <v>30</v>
      </c>
      <c r="D2" s="19">
        <v>29.6</v>
      </c>
      <c r="E2" s="20">
        <f>SUM(B2:D2)</f>
        <v>89.6</v>
      </c>
      <c r="F2">
        <f t="shared" ref="F2:F11" si="0">E2/COUNTIF(B2:D2,"&lt;&gt;0")</f>
        <v>29.866666666666664</v>
      </c>
      <c r="G2">
        <f t="shared" ref="G2:G11" si="1">F2/3</f>
        <v>9.9555555555555539</v>
      </c>
    </row>
    <row r="3" spans="1:7" x14ac:dyDescent="0.2">
      <c r="A3" s="13" t="s">
        <v>10</v>
      </c>
      <c r="B3" s="19">
        <v>29.8</v>
      </c>
      <c r="C3" s="19">
        <v>30</v>
      </c>
      <c r="D3" s="19">
        <v>29.5</v>
      </c>
      <c r="E3" s="20">
        <f t="shared" ref="E3:E11" si="2">SUM(B3:D3)</f>
        <v>89.3</v>
      </c>
      <c r="F3">
        <f t="shared" si="0"/>
        <v>29.766666666666666</v>
      </c>
      <c r="G3">
        <f t="shared" si="1"/>
        <v>9.9222222222222225</v>
      </c>
    </row>
    <row r="4" spans="1:7" x14ac:dyDescent="0.2">
      <c r="A4" s="13" t="s">
        <v>15</v>
      </c>
      <c r="B4" s="19">
        <v>28.5</v>
      </c>
      <c r="C4" s="21" t="s">
        <v>21</v>
      </c>
      <c r="D4" s="19">
        <v>28.6</v>
      </c>
      <c r="E4" s="20">
        <f t="shared" si="2"/>
        <v>57.1</v>
      </c>
      <c r="F4">
        <f>E4/2</f>
        <v>28.55</v>
      </c>
      <c r="G4">
        <f t="shared" si="1"/>
        <v>9.5166666666666675</v>
      </c>
    </row>
    <row r="5" spans="1:7" x14ac:dyDescent="0.2">
      <c r="A5" s="13" t="s">
        <v>18</v>
      </c>
      <c r="B5" s="19">
        <v>30</v>
      </c>
      <c r="C5" s="19">
        <v>30</v>
      </c>
      <c r="D5" s="19">
        <v>30</v>
      </c>
      <c r="E5" s="20">
        <f t="shared" si="2"/>
        <v>90</v>
      </c>
      <c r="F5">
        <f t="shared" si="0"/>
        <v>30</v>
      </c>
      <c r="G5">
        <f t="shared" si="1"/>
        <v>10</v>
      </c>
    </row>
    <row r="6" spans="1:7" x14ac:dyDescent="0.2">
      <c r="A6" s="13" t="s">
        <v>11</v>
      </c>
      <c r="B6" s="19">
        <v>29.8</v>
      </c>
      <c r="C6" s="19">
        <v>29.8</v>
      </c>
      <c r="D6" s="19">
        <v>29.8</v>
      </c>
      <c r="E6" s="20">
        <f t="shared" si="2"/>
        <v>89.4</v>
      </c>
      <c r="F6">
        <f t="shared" si="0"/>
        <v>29.8</v>
      </c>
      <c r="G6">
        <f t="shared" si="1"/>
        <v>9.9333333333333336</v>
      </c>
    </row>
    <row r="7" spans="1:7" x14ac:dyDescent="0.2">
      <c r="A7" s="13" t="s">
        <v>9</v>
      </c>
      <c r="B7" s="19">
        <v>29.9</v>
      </c>
      <c r="C7" s="19">
        <v>29.9</v>
      </c>
      <c r="D7" s="19">
        <v>29.6</v>
      </c>
      <c r="E7" s="20">
        <f t="shared" si="2"/>
        <v>89.4</v>
      </c>
      <c r="F7">
        <f t="shared" si="0"/>
        <v>29.8</v>
      </c>
      <c r="G7">
        <f t="shared" si="1"/>
        <v>9.9333333333333336</v>
      </c>
    </row>
    <row r="8" spans="1:7" x14ac:dyDescent="0.2">
      <c r="A8" s="13" t="s">
        <v>13</v>
      </c>
      <c r="B8" s="19">
        <v>29.7</v>
      </c>
      <c r="C8" s="22">
        <v>29.8</v>
      </c>
      <c r="D8" s="19">
        <v>29.2</v>
      </c>
      <c r="E8" s="20">
        <f t="shared" si="2"/>
        <v>88.7</v>
      </c>
      <c r="F8">
        <f t="shared" si="0"/>
        <v>29.566666666666666</v>
      </c>
      <c r="G8">
        <f t="shared" si="1"/>
        <v>9.8555555555555561</v>
      </c>
    </row>
    <row r="9" spans="1:7" x14ac:dyDescent="0.2">
      <c r="A9" s="13" t="s">
        <v>14</v>
      </c>
      <c r="B9" s="19">
        <v>29.4</v>
      </c>
      <c r="C9" s="19">
        <v>29.6</v>
      </c>
      <c r="D9" s="19">
        <v>29.2</v>
      </c>
      <c r="E9" s="20">
        <f t="shared" si="2"/>
        <v>88.2</v>
      </c>
      <c r="F9">
        <f t="shared" si="0"/>
        <v>29.400000000000002</v>
      </c>
      <c r="G9">
        <f t="shared" si="1"/>
        <v>9.8000000000000007</v>
      </c>
    </row>
    <row r="10" spans="1:7" x14ac:dyDescent="0.2">
      <c r="A10" s="13" t="s">
        <v>12</v>
      </c>
      <c r="B10" s="19">
        <v>29.8</v>
      </c>
      <c r="C10" s="19">
        <v>29.8</v>
      </c>
      <c r="D10" s="19">
        <v>29.5</v>
      </c>
      <c r="E10" s="20">
        <f t="shared" si="2"/>
        <v>89.1</v>
      </c>
      <c r="F10">
        <f t="shared" si="0"/>
        <v>29.7</v>
      </c>
      <c r="G10">
        <f t="shared" si="1"/>
        <v>9.9</v>
      </c>
    </row>
    <row r="11" spans="1:7" x14ac:dyDescent="0.2">
      <c r="A11" s="13" t="s">
        <v>8</v>
      </c>
      <c r="B11" s="19">
        <v>29.7</v>
      </c>
      <c r="C11" s="19">
        <v>30</v>
      </c>
      <c r="D11" s="19">
        <v>30</v>
      </c>
      <c r="E11" s="20">
        <f t="shared" si="2"/>
        <v>89.7</v>
      </c>
      <c r="F11">
        <f t="shared" si="0"/>
        <v>29.900000000000002</v>
      </c>
      <c r="G11">
        <f t="shared" si="1"/>
        <v>9.9666666666666668</v>
      </c>
    </row>
    <row r="20" spans="1:8" x14ac:dyDescent="0.2">
      <c r="A20" s="17"/>
      <c r="B20" s="17"/>
      <c r="C20" s="17"/>
      <c r="D20" s="17"/>
      <c r="E20" s="17"/>
      <c r="F20" s="17"/>
      <c r="G20" s="17"/>
      <c r="H20" s="17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9C3F-1CD0-47E3-9363-D407E7B2DA51}">
  <dimension ref="A1:H20"/>
  <sheetViews>
    <sheetView workbookViewId="0">
      <selection activeCell="F4" sqref="F4"/>
    </sheetView>
  </sheetViews>
  <sheetFormatPr defaultColWidth="34.83203125" defaultRowHeight="18.75" x14ac:dyDescent="0.2"/>
  <cols>
    <col min="1" max="1" width="39.1640625" style="16" bestFit="1" customWidth="1"/>
    <col min="2" max="2" width="14" style="16" bestFit="1" customWidth="1"/>
    <col min="3" max="3" width="22.6640625" style="16" bestFit="1" customWidth="1"/>
    <col min="4" max="4" width="14" style="16" bestFit="1" customWidth="1"/>
    <col min="5" max="5" width="11.83203125" style="16" bestFit="1" customWidth="1"/>
    <col min="6" max="6" width="18.33203125" style="16" bestFit="1" customWidth="1"/>
    <col min="7" max="7" width="20.5" style="16" bestFit="1" customWidth="1"/>
    <col min="8" max="16384" width="34.83203125" style="16"/>
  </cols>
  <sheetData>
    <row r="1" spans="1:7" x14ac:dyDescent="0.2">
      <c r="A1" s="16" t="s">
        <v>23</v>
      </c>
      <c r="B1" s="16" t="s">
        <v>17</v>
      </c>
      <c r="C1" s="16" t="s">
        <v>19</v>
      </c>
      <c r="D1" s="16" t="s">
        <v>22</v>
      </c>
      <c r="E1" s="16" t="s">
        <v>24</v>
      </c>
      <c r="G1" s="16" t="s">
        <v>25</v>
      </c>
    </row>
    <row r="2" spans="1:7" x14ac:dyDescent="0.2">
      <c r="A2" s="13" t="s">
        <v>7</v>
      </c>
      <c r="B2" s="19">
        <v>29.7</v>
      </c>
      <c r="C2" s="19">
        <v>29.8</v>
      </c>
      <c r="D2" s="19">
        <v>29.6</v>
      </c>
      <c r="E2" s="20">
        <f>SUM(B2:D2)</f>
        <v>89.1</v>
      </c>
      <c r="F2">
        <f t="shared" ref="F2:F11" si="0">E2/COUNTIF(B2:D2,"&lt;&gt;0")</f>
        <v>29.7</v>
      </c>
      <c r="G2">
        <f t="shared" ref="G2:G11" si="1">F2/3</f>
        <v>9.9</v>
      </c>
    </row>
    <row r="3" spans="1:7" x14ac:dyDescent="0.2">
      <c r="A3" s="13" t="s">
        <v>10</v>
      </c>
      <c r="B3" s="19">
        <v>29.5</v>
      </c>
      <c r="C3" s="19">
        <v>29.5</v>
      </c>
      <c r="D3" s="19">
        <v>29.6</v>
      </c>
      <c r="E3" s="20">
        <f t="shared" ref="E3:E11" si="2">SUM(B3:D3)</f>
        <v>88.6</v>
      </c>
      <c r="F3">
        <f t="shared" si="0"/>
        <v>29.533333333333331</v>
      </c>
      <c r="G3">
        <f t="shared" si="1"/>
        <v>9.8444444444444432</v>
      </c>
    </row>
    <row r="4" spans="1:7" x14ac:dyDescent="0.2">
      <c r="A4" s="13" t="s">
        <v>15</v>
      </c>
      <c r="B4" s="19">
        <v>28.8</v>
      </c>
      <c r="C4" s="21" t="s">
        <v>20</v>
      </c>
      <c r="D4" s="19">
        <v>28.6</v>
      </c>
      <c r="E4" s="20">
        <f t="shared" si="2"/>
        <v>57.400000000000006</v>
      </c>
      <c r="F4">
        <f>E4/2</f>
        <v>28.700000000000003</v>
      </c>
      <c r="G4">
        <f t="shared" si="1"/>
        <v>9.5666666666666682</v>
      </c>
    </row>
    <row r="5" spans="1:7" x14ac:dyDescent="0.2">
      <c r="A5" s="13" t="s">
        <v>18</v>
      </c>
      <c r="B5" s="19">
        <v>30</v>
      </c>
      <c r="C5" s="19">
        <v>29.6</v>
      </c>
      <c r="D5" s="19">
        <v>29.9</v>
      </c>
      <c r="E5" s="20">
        <f t="shared" si="2"/>
        <v>89.5</v>
      </c>
      <c r="F5">
        <f t="shared" si="0"/>
        <v>29.833333333333332</v>
      </c>
      <c r="G5">
        <f t="shared" si="1"/>
        <v>9.9444444444444446</v>
      </c>
    </row>
    <row r="6" spans="1:7" x14ac:dyDescent="0.2">
      <c r="A6" s="13" t="s">
        <v>11</v>
      </c>
      <c r="B6" s="19">
        <v>29.1</v>
      </c>
      <c r="C6" s="19">
        <v>29.7</v>
      </c>
      <c r="D6" s="19">
        <v>29.1</v>
      </c>
      <c r="E6" s="20">
        <f t="shared" si="2"/>
        <v>87.9</v>
      </c>
      <c r="F6">
        <f t="shared" si="0"/>
        <v>29.3</v>
      </c>
      <c r="G6">
        <f t="shared" si="1"/>
        <v>9.7666666666666675</v>
      </c>
    </row>
    <row r="7" spans="1:7" x14ac:dyDescent="0.2">
      <c r="A7" s="13" t="s">
        <v>9</v>
      </c>
      <c r="B7" s="19">
        <v>30</v>
      </c>
      <c r="C7" s="19">
        <v>30</v>
      </c>
      <c r="D7" s="19">
        <v>29.9</v>
      </c>
      <c r="E7" s="20">
        <f t="shared" si="2"/>
        <v>89.9</v>
      </c>
      <c r="F7">
        <f t="shared" si="0"/>
        <v>29.966666666666669</v>
      </c>
      <c r="G7">
        <f t="shared" si="1"/>
        <v>9.9888888888888889</v>
      </c>
    </row>
    <row r="8" spans="1:7" x14ac:dyDescent="0.2">
      <c r="A8" s="13" t="s">
        <v>13</v>
      </c>
      <c r="B8" s="19">
        <v>29.3</v>
      </c>
      <c r="C8" s="22">
        <v>29.3</v>
      </c>
      <c r="D8" s="19">
        <v>29</v>
      </c>
      <c r="E8" s="20">
        <f t="shared" si="2"/>
        <v>87.6</v>
      </c>
      <c r="F8">
        <f t="shared" si="0"/>
        <v>29.2</v>
      </c>
      <c r="G8">
        <f t="shared" si="1"/>
        <v>9.7333333333333325</v>
      </c>
    </row>
    <row r="9" spans="1:7" x14ac:dyDescent="0.2">
      <c r="A9" s="13" t="s">
        <v>14</v>
      </c>
      <c r="B9" s="19">
        <v>29.3</v>
      </c>
      <c r="C9" s="19">
        <v>29.4</v>
      </c>
      <c r="D9" s="19">
        <v>29.2</v>
      </c>
      <c r="E9" s="20">
        <f t="shared" si="2"/>
        <v>87.9</v>
      </c>
      <c r="F9">
        <f t="shared" si="0"/>
        <v>29.3</v>
      </c>
      <c r="G9">
        <f t="shared" si="1"/>
        <v>9.7666666666666675</v>
      </c>
    </row>
    <row r="10" spans="1:7" x14ac:dyDescent="0.2">
      <c r="A10" s="13" t="s">
        <v>12</v>
      </c>
      <c r="B10" s="19">
        <v>29.6</v>
      </c>
      <c r="C10" s="19">
        <v>29.6</v>
      </c>
      <c r="D10" s="19">
        <v>29.7</v>
      </c>
      <c r="E10" s="20">
        <f t="shared" si="2"/>
        <v>88.9</v>
      </c>
      <c r="F10">
        <f t="shared" si="0"/>
        <v>29.633333333333336</v>
      </c>
      <c r="G10">
        <f t="shared" si="1"/>
        <v>9.8777777777777782</v>
      </c>
    </row>
    <row r="11" spans="1:7" x14ac:dyDescent="0.2">
      <c r="A11" s="13" t="s">
        <v>8</v>
      </c>
      <c r="B11" s="19">
        <v>29.5</v>
      </c>
      <c r="C11" s="19">
        <v>29.4</v>
      </c>
      <c r="D11" s="19">
        <v>29.9</v>
      </c>
      <c r="E11" s="20">
        <f t="shared" si="2"/>
        <v>88.8</v>
      </c>
      <c r="F11">
        <f t="shared" si="0"/>
        <v>29.599999999999998</v>
      </c>
      <c r="G11">
        <f t="shared" si="1"/>
        <v>9.8666666666666654</v>
      </c>
    </row>
    <row r="20" spans="1:8" x14ac:dyDescent="0.2">
      <c r="A20" s="17"/>
      <c r="B20" s="17"/>
      <c r="C20" s="17"/>
      <c r="D20" s="17"/>
      <c r="E20" s="17"/>
      <c r="F20" s="17"/>
      <c r="G20" s="17"/>
      <c r="H20" s="1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18CC4-3422-43F0-8813-7562712E2ABC}">
  <dimension ref="A1:H20"/>
  <sheetViews>
    <sheetView workbookViewId="0">
      <selection activeCell="F4" sqref="F4"/>
    </sheetView>
  </sheetViews>
  <sheetFormatPr defaultColWidth="34.83203125" defaultRowHeight="18.75" x14ac:dyDescent="0.2"/>
  <cols>
    <col min="1" max="1" width="39.1640625" style="16" bestFit="1" customWidth="1"/>
    <col min="2" max="2" width="14" style="16" bestFit="1" customWidth="1"/>
    <col min="3" max="3" width="22.6640625" style="16" bestFit="1" customWidth="1"/>
    <col min="4" max="4" width="14" style="16" bestFit="1" customWidth="1"/>
    <col min="5" max="5" width="11.83203125" style="16" bestFit="1" customWidth="1"/>
    <col min="6" max="6" width="18.33203125" style="16" bestFit="1" customWidth="1"/>
    <col min="7" max="7" width="20.5" style="16" bestFit="1" customWidth="1"/>
    <col min="8" max="16384" width="34.83203125" style="16"/>
  </cols>
  <sheetData>
    <row r="1" spans="1:7" x14ac:dyDescent="0.2">
      <c r="A1" s="16" t="s">
        <v>23</v>
      </c>
      <c r="B1" s="16" t="s">
        <v>17</v>
      </c>
      <c r="C1" s="16" t="s">
        <v>19</v>
      </c>
      <c r="D1" s="16" t="s">
        <v>22</v>
      </c>
      <c r="E1" s="16" t="s">
        <v>24</v>
      </c>
      <c r="G1" s="16" t="s">
        <v>25</v>
      </c>
    </row>
    <row r="2" spans="1:7" x14ac:dyDescent="0.2">
      <c r="A2" s="13" t="s">
        <v>7</v>
      </c>
      <c r="B2" s="19">
        <v>30</v>
      </c>
      <c r="C2" s="19">
        <v>30</v>
      </c>
      <c r="D2" s="19">
        <v>29.8</v>
      </c>
      <c r="E2" s="20">
        <f>SUM(B2:D2)</f>
        <v>89.8</v>
      </c>
      <c r="F2">
        <f t="shared" ref="F2:F11" si="0">E2/COUNTIF(B2:D2,"&lt;&gt;0")</f>
        <v>29.933333333333334</v>
      </c>
      <c r="G2">
        <f t="shared" ref="G2:G11" si="1">F2/3</f>
        <v>9.9777777777777779</v>
      </c>
    </row>
    <row r="3" spans="1:7" x14ac:dyDescent="0.2">
      <c r="A3" s="13" t="s">
        <v>10</v>
      </c>
      <c r="B3" s="19">
        <v>30</v>
      </c>
      <c r="C3" s="19">
        <v>29.7</v>
      </c>
      <c r="D3" s="19">
        <v>30</v>
      </c>
      <c r="E3" s="20">
        <f t="shared" ref="E3:E11" si="2">SUM(B3:D3)</f>
        <v>89.7</v>
      </c>
      <c r="F3">
        <f t="shared" si="0"/>
        <v>29.900000000000002</v>
      </c>
      <c r="G3">
        <f t="shared" si="1"/>
        <v>9.9666666666666668</v>
      </c>
    </row>
    <row r="4" spans="1:7" x14ac:dyDescent="0.2">
      <c r="A4" s="13" t="s">
        <v>15</v>
      </c>
      <c r="B4" s="19">
        <v>29.7</v>
      </c>
      <c r="C4" s="21" t="s">
        <v>20</v>
      </c>
      <c r="D4" s="19">
        <v>29.4</v>
      </c>
      <c r="E4" s="20">
        <f t="shared" si="2"/>
        <v>59.099999999999994</v>
      </c>
      <c r="F4">
        <f>E4/2</f>
        <v>29.549999999999997</v>
      </c>
      <c r="G4">
        <f t="shared" si="1"/>
        <v>9.85</v>
      </c>
    </row>
    <row r="5" spans="1:7" x14ac:dyDescent="0.2">
      <c r="A5" s="13" t="s">
        <v>18</v>
      </c>
      <c r="B5" s="19">
        <v>30</v>
      </c>
      <c r="C5" s="19">
        <v>30</v>
      </c>
      <c r="D5" s="19">
        <v>30</v>
      </c>
      <c r="E5" s="20">
        <f t="shared" si="2"/>
        <v>90</v>
      </c>
      <c r="F5">
        <f t="shared" si="0"/>
        <v>30</v>
      </c>
      <c r="G5">
        <f t="shared" si="1"/>
        <v>10</v>
      </c>
    </row>
    <row r="6" spans="1:7" x14ac:dyDescent="0.2">
      <c r="A6" s="13" t="s">
        <v>11</v>
      </c>
      <c r="B6" s="19">
        <v>30</v>
      </c>
      <c r="C6" s="19">
        <v>29.9</v>
      </c>
      <c r="D6" s="19">
        <v>29.9</v>
      </c>
      <c r="E6" s="20">
        <f t="shared" si="2"/>
        <v>89.8</v>
      </c>
      <c r="F6">
        <f t="shared" si="0"/>
        <v>29.933333333333334</v>
      </c>
      <c r="G6">
        <f t="shared" si="1"/>
        <v>9.9777777777777779</v>
      </c>
    </row>
    <row r="7" spans="1:7" x14ac:dyDescent="0.2">
      <c r="A7" s="13" t="s">
        <v>9</v>
      </c>
      <c r="B7" s="19">
        <v>29.9</v>
      </c>
      <c r="C7" s="19">
        <v>29.9</v>
      </c>
      <c r="D7" s="19">
        <v>29.1</v>
      </c>
      <c r="E7" s="20">
        <f t="shared" si="2"/>
        <v>88.9</v>
      </c>
      <c r="F7">
        <f t="shared" si="0"/>
        <v>29.633333333333336</v>
      </c>
      <c r="G7">
        <f t="shared" si="1"/>
        <v>9.8777777777777782</v>
      </c>
    </row>
    <row r="8" spans="1:7" x14ac:dyDescent="0.2">
      <c r="A8" s="13" t="s">
        <v>13</v>
      </c>
      <c r="B8" s="19">
        <v>30</v>
      </c>
      <c r="C8" s="22">
        <v>30</v>
      </c>
      <c r="D8" s="19">
        <v>29.6</v>
      </c>
      <c r="E8" s="20">
        <f t="shared" si="2"/>
        <v>89.6</v>
      </c>
      <c r="F8">
        <f t="shared" si="0"/>
        <v>29.866666666666664</v>
      </c>
      <c r="G8">
        <f t="shared" si="1"/>
        <v>9.9555555555555539</v>
      </c>
    </row>
    <row r="9" spans="1:7" x14ac:dyDescent="0.2">
      <c r="A9" s="13" t="s">
        <v>14</v>
      </c>
      <c r="B9" s="19">
        <v>29.8</v>
      </c>
      <c r="C9" s="19">
        <v>29.7</v>
      </c>
      <c r="D9" s="19">
        <v>29.7</v>
      </c>
      <c r="E9" s="20">
        <f t="shared" si="2"/>
        <v>89.2</v>
      </c>
      <c r="F9">
        <f t="shared" si="0"/>
        <v>29.733333333333334</v>
      </c>
      <c r="G9">
        <f t="shared" si="1"/>
        <v>9.9111111111111114</v>
      </c>
    </row>
    <row r="10" spans="1:7" x14ac:dyDescent="0.2">
      <c r="A10" s="13" t="s">
        <v>12</v>
      </c>
      <c r="B10" s="19">
        <v>29.8</v>
      </c>
      <c r="C10" s="19">
        <v>29.9</v>
      </c>
      <c r="D10" s="19">
        <v>29.6</v>
      </c>
      <c r="E10" s="20">
        <f t="shared" si="2"/>
        <v>89.300000000000011</v>
      </c>
      <c r="F10">
        <f t="shared" si="0"/>
        <v>29.766666666666669</v>
      </c>
      <c r="G10">
        <f t="shared" si="1"/>
        <v>9.9222222222222225</v>
      </c>
    </row>
    <row r="11" spans="1:7" x14ac:dyDescent="0.2">
      <c r="A11" s="13" t="s">
        <v>8</v>
      </c>
      <c r="B11" s="19">
        <v>30</v>
      </c>
      <c r="C11" s="19">
        <v>29.9</v>
      </c>
      <c r="D11" s="19">
        <v>30</v>
      </c>
      <c r="E11" s="20">
        <f t="shared" si="2"/>
        <v>89.9</v>
      </c>
      <c r="F11">
        <f t="shared" si="0"/>
        <v>29.966666666666669</v>
      </c>
      <c r="G11">
        <f t="shared" si="1"/>
        <v>9.9888888888888889</v>
      </c>
    </row>
    <row r="20" spans="1:8" x14ac:dyDescent="0.2">
      <c r="A20" s="17"/>
      <c r="B20" s="17"/>
      <c r="C20" s="17"/>
      <c r="D20" s="17"/>
      <c r="E20" s="17"/>
      <c r="F20" s="17"/>
      <c r="G20" s="17"/>
      <c r="H20" s="1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TOTAL</vt:lpstr>
      <vt:lpstr>COREOGRAFIA</vt:lpstr>
      <vt:lpstr>MARCAÇÃO</vt:lpstr>
      <vt:lpstr>ANIMAÇÃO</vt:lpstr>
      <vt:lpstr>FIGURINO</vt:lpstr>
      <vt:lpstr>CASAL DE NOIVOS</vt:lpstr>
      <vt:lpstr>TRILHA SONORA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</cp:lastModifiedBy>
  <dcterms:created xsi:type="dcterms:W3CDTF">2026-03-12T21:40:55Z</dcterms:created>
  <dcterms:modified xsi:type="dcterms:W3CDTF">2026-04-30T23:43:46Z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2026-02-02T00:00:00Z</vt:filetime>
  </property>
  <property fmtid="{D5CDD505-2E9C-101B-9397-08002B2CF9AE}" pid="3" name="Creator">
    <vt:lpwstr>www.smallpdf.com</vt:lpwstr>
  </property>
  <property fmtid="{D5CDD505-2E9C-101B-9397-08002B2CF9AE}" pid="4" name="LastSaved">
    <vt:filetime>2026-03-12T00:00:00Z</vt:filetime>
  </property>
  <property fmtid="{D5CDD505-2E9C-101B-9397-08002B2CF9AE}" pid="5" name="Producer">
    <vt:lpwstr>www.smallpdf.com</vt:lpwstr>
  </property>
</Properties>
</file>
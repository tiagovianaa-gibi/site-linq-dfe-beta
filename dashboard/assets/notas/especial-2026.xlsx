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site-linq-dfe-beta\dashboard\assets\notas\"/>
    </mc:Choice>
  </mc:AlternateContent>
  <xr:revisionPtr revIDLastSave="0" documentId="13_ncr:1_{6C3A79EC-A98B-4FD1-8B0C-E0D54F892E7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8" r:id="rId1"/>
    <sheet name="COREOGRAFIA" sheetId="16" r:id="rId2"/>
    <sheet name="MARCAÇÃO" sheetId="17" r:id="rId3"/>
    <sheet name="ANIMAÇÃO" sheetId="18" r:id="rId4"/>
    <sheet name="FIGURINO" sheetId="19" r:id="rId5"/>
    <sheet name="CASAL DE NOIVOS" sheetId="20" r:id="rId6"/>
    <sheet name="TRILHA SONORA" sheetId="2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1" l="1"/>
  <c r="F7" i="21"/>
  <c r="F9" i="21"/>
  <c r="F10" i="21"/>
  <c r="F13" i="21"/>
  <c r="F4" i="16"/>
  <c r="F10" i="16"/>
  <c r="F13" i="16"/>
  <c r="G3" i="8"/>
  <c r="F7" i="20"/>
  <c r="F10" i="20"/>
  <c r="F3" i="19"/>
  <c r="F7" i="18"/>
  <c r="F8" i="18"/>
  <c r="F3" i="17"/>
  <c r="E4" i="8"/>
  <c r="F4" i="8" s="1"/>
  <c r="G4" i="8" s="1"/>
  <c r="H4" i="8" s="1"/>
  <c r="E5" i="8"/>
  <c r="F5" i="8" s="1"/>
  <c r="G5" i="8" s="1"/>
  <c r="H5" i="8" s="1"/>
  <c r="E6" i="8"/>
  <c r="F6" i="8" s="1"/>
  <c r="G6" i="8" s="1"/>
  <c r="H6" i="8" s="1"/>
  <c r="E7" i="8"/>
  <c r="F7" i="8" s="1"/>
  <c r="G7" i="8" s="1"/>
  <c r="H7" i="8" s="1"/>
  <c r="E8" i="8"/>
  <c r="F8" i="8" s="1"/>
  <c r="G8" i="8" s="1"/>
  <c r="H8" i="8" s="1"/>
  <c r="E9" i="8"/>
  <c r="F9" i="8" s="1"/>
  <c r="G9" i="8" s="1"/>
  <c r="H9" i="8" s="1"/>
  <c r="E10" i="8"/>
  <c r="F10" i="8" s="1"/>
  <c r="G10" i="8" s="1"/>
  <c r="E11" i="8"/>
  <c r="F11" i="8" s="1"/>
  <c r="G11" i="8" s="1"/>
  <c r="E12" i="8"/>
  <c r="F12" i="8" s="1"/>
  <c r="G12" i="8" s="1"/>
  <c r="H12" i="8" s="1"/>
  <c r="E13" i="8"/>
  <c r="F13" i="8" s="1"/>
  <c r="G13" i="8" s="1"/>
  <c r="E14" i="8"/>
  <c r="F14" i="8" s="1"/>
  <c r="G14" i="8" s="1"/>
  <c r="H14" i="8" s="1"/>
  <c r="E15" i="8"/>
  <c r="F15" i="8" s="1"/>
  <c r="G15" i="8" s="1"/>
  <c r="E16" i="8"/>
  <c r="F16" i="8" s="1"/>
  <c r="G16" i="8" s="1"/>
  <c r="E17" i="8"/>
  <c r="F17" i="8" s="1"/>
  <c r="G17" i="8" s="1"/>
  <c r="E3" i="8"/>
  <c r="E16" i="21"/>
  <c r="F16" i="21" s="1"/>
  <c r="E15" i="21"/>
  <c r="F15" i="21" s="1"/>
  <c r="E14" i="21"/>
  <c r="F14" i="21" s="1"/>
  <c r="E13" i="21"/>
  <c r="E12" i="21"/>
  <c r="F12" i="21" s="1"/>
  <c r="E11" i="21"/>
  <c r="F11" i="21" s="1"/>
  <c r="E10" i="21"/>
  <c r="E9" i="21"/>
  <c r="E8" i="21"/>
  <c r="F8" i="21" s="1"/>
  <c r="E7" i="21"/>
  <c r="E6" i="21"/>
  <c r="F6" i="21" s="1"/>
  <c r="E5" i="21"/>
  <c r="F5" i="21" s="1"/>
  <c r="E4" i="21"/>
  <c r="F4" i="21" s="1"/>
  <c r="E3" i="21"/>
  <c r="E2" i="21"/>
  <c r="E16" i="20"/>
  <c r="F16" i="20" s="1"/>
  <c r="E15" i="20"/>
  <c r="E14" i="20"/>
  <c r="E13" i="20"/>
  <c r="E12" i="20"/>
  <c r="F12" i="20" s="1"/>
  <c r="E11" i="20"/>
  <c r="E10" i="20"/>
  <c r="E9" i="20"/>
  <c r="F9" i="20" s="1"/>
  <c r="E8" i="20"/>
  <c r="E7" i="20"/>
  <c r="E6" i="20"/>
  <c r="F6" i="20" s="1"/>
  <c r="E5" i="20"/>
  <c r="F5" i="20" s="1"/>
  <c r="E4" i="20"/>
  <c r="E3" i="20"/>
  <c r="E2" i="20"/>
  <c r="E16" i="19"/>
  <c r="E15" i="19"/>
  <c r="F15" i="19" s="1"/>
  <c r="E14" i="19"/>
  <c r="E13" i="19"/>
  <c r="F13" i="19" s="1"/>
  <c r="E12" i="19"/>
  <c r="E11" i="19"/>
  <c r="F11" i="19" s="1"/>
  <c r="E10" i="19"/>
  <c r="F10" i="19" s="1"/>
  <c r="E9" i="19"/>
  <c r="E8" i="19"/>
  <c r="E7" i="19"/>
  <c r="F7" i="19" s="1"/>
  <c r="E6" i="19"/>
  <c r="E5" i="19"/>
  <c r="E4" i="19"/>
  <c r="E3" i="19"/>
  <c r="E2" i="19"/>
  <c r="F2" i="19" s="1"/>
  <c r="E16" i="18"/>
  <c r="E15" i="18"/>
  <c r="E14" i="18"/>
  <c r="E13" i="18"/>
  <c r="F13" i="18" s="1"/>
  <c r="E12" i="18"/>
  <c r="F12" i="18" s="1"/>
  <c r="E11" i="18"/>
  <c r="F11" i="18" s="1"/>
  <c r="E10" i="18"/>
  <c r="F10" i="18" s="1"/>
  <c r="E9" i="18"/>
  <c r="F9" i="18" s="1"/>
  <c r="E8" i="18"/>
  <c r="E7" i="18"/>
  <c r="E6" i="18"/>
  <c r="E5" i="18"/>
  <c r="F5" i="18" s="1"/>
  <c r="E4" i="18"/>
  <c r="F4" i="18" s="1"/>
  <c r="E3" i="18"/>
  <c r="E2" i="18"/>
  <c r="E16" i="17"/>
  <c r="E15" i="17"/>
  <c r="E14" i="17"/>
  <c r="F14" i="17" s="1"/>
  <c r="E13" i="17"/>
  <c r="E12" i="17"/>
  <c r="E11" i="17"/>
  <c r="F11" i="17" s="1"/>
  <c r="E10" i="17"/>
  <c r="F10" i="17" s="1"/>
  <c r="E9" i="17"/>
  <c r="F9" i="17" s="1"/>
  <c r="E8" i="17"/>
  <c r="F8" i="17" s="1"/>
  <c r="E7" i="17"/>
  <c r="F7" i="17" s="1"/>
  <c r="E6" i="17"/>
  <c r="E5" i="17"/>
  <c r="E4" i="17"/>
  <c r="E3" i="17"/>
  <c r="E2" i="17"/>
  <c r="F2" i="17" s="1"/>
  <c r="E16" i="16"/>
  <c r="F16" i="16" s="1"/>
  <c r="E15" i="16"/>
  <c r="E14" i="16"/>
  <c r="F14" i="16" s="1"/>
  <c r="E13" i="16"/>
  <c r="E12" i="16"/>
  <c r="E11" i="16"/>
  <c r="F11" i="16" s="1"/>
  <c r="E10" i="16"/>
  <c r="E9" i="16"/>
  <c r="F9" i="16" s="1"/>
  <c r="E8" i="16"/>
  <c r="F8" i="16" s="1"/>
  <c r="E7" i="16"/>
  <c r="F7" i="16" s="1"/>
  <c r="E6" i="16"/>
  <c r="F6" i="16" s="1"/>
  <c r="E5" i="16"/>
  <c r="E4" i="16"/>
  <c r="E3" i="16"/>
  <c r="F3" i="16" s="1"/>
  <c r="E2" i="16"/>
  <c r="F2" i="16" s="1"/>
  <c r="G2" i="16" s="1"/>
  <c r="G16" i="20" l="1"/>
  <c r="F16" i="19"/>
  <c r="G16" i="19" s="1"/>
  <c r="F16" i="18"/>
  <c r="G16" i="18" s="1"/>
  <c r="F16" i="17"/>
  <c r="G16" i="17" s="1"/>
  <c r="G4" i="21"/>
  <c r="F4" i="20"/>
  <c r="G4" i="20" s="1"/>
  <c r="F4" i="19"/>
  <c r="G4" i="19" s="1"/>
  <c r="G4" i="18"/>
  <c r="F4" i="17"/>
  <c r="G4" i="17" s="1"/>
  <c r="G4" i="16"/>
  <c r="F15" i="20"/>
  <c r="G15" i="20" s="1"/>
  <c r="F15" i="18"/>
  <c r="G15" i="18" s="1"/>
  <c r="F15" i="17"/>
  <c r="G15" i="17" s="1"/>
  <c r="F15" i="16"/>
  <c r="G15" i="16" s="1"/>
  <c r="F2" i="21"/>
  <c r="G2" i="21" s="1"/>
  <c r="F2" i="20"/>
  <c r="G2" i="20" s="1"/>
  <c r="G2" i="19"/>
  <c r="F2" i="18"/>
  <c r="G2" i="18" s="1"/>
  <c r="G2" i="17"/>
  <c r="F8" i="20"/>
  <c r="G8" i="20" s="1"/>
  <c r="F8" i="19"/>
  <c r="G8" i="19" s="1"/>
  <c r="G8" i="18"/>
  <c r="G8" i="17"/>
  <c r="G8" i="16"/>
  <c r="G6" i="21"/>
  <c r="G6" i="20"/>
  <c r="F6" i="19"/>
  <c r="G6" i="19" s="1"/>
  <c r="G6" i="18"/>
  <c r="F6" i="18"/>
  <c r="F6" i="17"/>
  <c r="G6" i="17" s="1"/>
  <c r="G6" i="16"/>
  <c r="G12" i="21"/>
  <c r="G12" i="20"/>
  <c r="F12" i="19"/>
  <c r="G12" i="19" s="1"/>
  <c r="G12" i="18"/>
  <c r="F12" i="17"/>
  <c r="G12" i="17" s="1"/>
  <c r="F12" i="16"/>
  <c r="G12" i="16" s="1"/>
  <c r="F11" i="20"/>
  <c r="G11" i="20" s="1"/>
  <c r="G11" i="18"/>
  <c r="G11" i="17"/>
  <c r="F14" i="20"/>
  <c r="G14" i="20" s="1"/>
  <c r="F14" i="19"/>
  <c r="G14" i="19" s="1"/>
  <c r="F14" i="18"/>
  <c r="G14" i="18" s="1"/>
  <c r="G14" i="17"/>
  <c r="G14" i="16"/>
  <c r="G14" i="21"/>
  <c r="G5" i="20"/>
  <c r="F5" i="19"/>
  <c r="G5" i="19" s="1"/>
  <c r="F5" i="17"/>
  <c r="G5" i="17" s="1"/>
  <c r="F5" i="16"/>
  <c r="G5" i="16" s="1"/>
  <c r="G8" i="21"/>
  <c r="G16" i="21"/>
  <c r="G5" i="21"/>
  <c r="F3" i="20"/>
  <c r="G3" i="20" s="1"/>
  <c r="F3" i="18"/>
  <c r="G3" i="18" s="1"/>
  <c r="G3" i="17"/>
  <c r="G7" i="20"/>
  <c r="G7" i="18"/>
  <c r="G7" i="17"/>
  <c r="G7" i="16"/>
  <c r="G9" i="21"/>
  <c r="F9" i="19"/>
  <c r="G9" i="19" s="1"/>
  <c r="G3" i="16"/>
  <c r="G11" i="16"/>
  <c r="G13" i="21"/>
  <c r="F13" i="20"/>
  <c r="G13" i="20" s="1"/>
  <c r="G13" i="19"/>
  <c r="F13" i="17"/>
  <c r="G13" i="17" s="1"/>
  <c r="G13" i="16"/>
  <c r="F3" i="8"/>
  <c r="H3" i="8" s="1"/>
  <c r="G7" i="21"/>
  <c r="G15" i="21"/>
  <c r="G10" i="21"/>
  <c r="G3" i="21"/>
  <c r="G11" i="21"/>
  <c r="G9" i="20"/>
  <c r="G10" i="20"/>
  <c r="G7" i="19"/>
  <c r="G15" i="19"/>
  <c r="G10" i="19"/>
  <c r="G3" i="19"/>
  <c r="G11" i="19"/>
  <c r="G9" i="18"/>
  <c r="G10" i="18"/>
  <c r="G5" i="18"/>
  <c r="G13" i="18"/>
  <c r="G10" i="17"/>
  <c r="G9" i="17"/>
  <c r="G9" i="16"/>
  <c r="G16" i="16"/>
  <c r="G10" i="16"/>
  <c r="H15" i="8"/>
  <c r="H11" i="8"/>
  <c r="H10" i="8"/>
  <c r="H17" i="8"/>
  <c r="H16" i="8"/>
  <c r="H13" i="8"/>
</calcChain>
</file>

<file path=xl/sharedStrings.xml><?xml version="1.0" encoding="utf-8"?>
<sst xmlns="http://schemas.openxmlformats.org/spreadsheetml/2006/main" count="150" uniqueCount="29">
  <si>
    <r>
      <rPr>
        <b/>
        <sz val="14"/>
        <rFont val="Calibri"/>
        <family val="1"/>
      </rPr>
      <t>QUADRILHAS</t>
    </r>
  </si>
  <si>
    <r>
      <rPr>
        <b/>
        <sz val="14"/>
        <rFont val="Calibri"/>
        <family val="1"/>
      </rPr>
      <t>1ª ETAPA</t>
    </r>
  </si>
  <si>
    <r>
      <rPr>
        <b/>
        <sz val="14"/>
        <rFont val="Calibri"/>
        <family val="1"/>
      </rPr>
      <t>2ª ETAPA</t>
    </r>
  </si>
  <si>
    <r>
      <rPr>
        <b/>
        <sz val="14"/>
        <rFont val="Calibri"/>
        <family val="1"/>
      </rPr>
      <t>3ª ETAPA</t>
    </r>
  </si>
  <si>
    <r>
      <rPr>
        <b/>
        <sz val="14"/>
        <rFont val="Calibri"/>
        <family val="1"/>
      </rPr>
      <t>TOTAL</t>
    </r>
  </si>
  <si>
    <t>1 ETAPA</t>
  </si>
  <si>
    <t>2 ETAPA</t>
  </si>
  <si>
    <t>3 ETAPA</t>
  </si>
  <si>
    <t>MÉDIA REAL</t>
  </si>
  <si>
    <t>QUADRILHA</t>
  </si>
  <si>
    <t>TOTAL</t>
  </si>
  <si>
    <r>
      <rPr>
        <sz val="10"/>
        <rFont val="Microsoft Sans Serif"/>
        <family val="2"/>
      </rPr>
      <t>ARROXA O NÓ</t>
    </r>
  </si>
  <si>
    <r>
      <rPr>
        <sz val="10"/>
        <rFont val="Microsoft Sans Serif"/>
        <family val="2"/>
      </rPr>
      <t>FORMIGA DA ROÇA</t>
    </r>
  </si>
  <si>
    <r>
      <rPr>
        <sz val="10"/>
        <rFont val="Microsoft Sans Serif"/>
        <family val="2"/>
      </rPr>
      <t>MALA VÉIA</t>
    </r>
  </si>
  <si>
    <r>
      <rPr>
        <sz val="10"/>
        <rFont val="Microsoft Sans Serif"/>
        <family val="2"/>
      </rPr>
      <t>PINGA EM MIM</t>
    </r>
  </si>
  <si>
    <r>
      <rPr>
        <sz val="10"/>
        <rFont val="Microsoft Sans Serif"/>
        <family val="2"/>
      </rPr>
      <t>JUNINA MATULãO</t>
    </r>
  </si>
  <si>
    <r>
      <rPr>
        <sz val="10"/>
        <rFont val="Microsoft Sans Serif"/>
        <family val="2"/>
      </rPr>
      <t>AMOR JUNINO</t>
    </r>
  </si>
  <si>
    <r>
      <rPr>
        <sz val="10"/>
        <rFont val="Microsoft Sans Serif"/>
        <family val="2"/>
      </rPr>
      <t>RASGA O FOLE</t>
    </r>
  </si>
  <si>
    <r>
      <rPr>
        <sz val="10"/>
        <rFont val="Microsoft Sans Serif"/>
        <family val="2"/>
      </rPr>
      <t>ARRAIA DOS MATUTOS</t>
    </r>
  </si>
  <si>
    <r>
      <rPr>
        <sz val="10"/>
        <rFont val="Microsoft Sans Serif"/>
        <family val="2"/>
      </rPr>
      <t>RIBULIÇO</t>
    </r>
  </si>
  <si>
    <r>
      <rPr>
        <sz val="10"/>
        <rFont val="Microsoft Sans Serif"/>
        <family val="2"/>
      </rPr>
      <t>CAIPIRADA</t>
    </r>
  </si>
  <si>
    <r>
      <rPr>
        <sz val="10"/>
        <rFont val="Microsoft Sans Serif"/>
        <family val="2"/>
      </rPr>
      <t>VAI MAS NãO VAI</t>
    </r>
  </si>
  <si>
    <r>
      <rPr>
        <sz val="10"/>
        <rFont val="Microsoft Sans Serif"/>
        <family val="2"/>
      </rPr>
      <t>XAMEGAR</t>
    </r>
  </si>
  <si>
    <r>
      <rPr>
        <sz val="10"/>
        <rFont val="Microsoft Sans Serif"/>
        <family val="2"/>
      </rPr>
      <t>XIQUE-XIQUE</t>
    </r>
  </si>
  <si>
    <r>
      <rPr>
        <sz val="10"/>
        <rFont val="Microsoft Sans Serif"/>
        <family val="2"/>
      </rPr>
      <t>EITA BAGACEIRA</t>
    </r>
  </si>
  <si>
    <r>
      <rPr>
        <sz val="10"/>
        <rFont val="Microsoft Sans Serif"/>
        <family val="2"/>
      </rPr>
      <t>CHINELO DE COURO</t>
    </r>
  </si>
  <si>
    <t>MÉDIA ETAPAS</t>
  </si>
  <si>
    <t>MÉDIA QUESITOS</t>
  </si>
  <si>
    <t>MÉDIA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</si>
</sst>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color rgb="FF000000"/>
      <name val="Times New Roman"/>
      <charset val="204"/>
    </font>
    <font>
      <b/>
      <sz val="8"/>
      <color rgb="FF000000"/>
      <name val="Calibri"/>
      <family val="2"/>
    </font>
    <font>
      <b/>
      <sz val="14"/>
      <name val="Calibri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</font>
    <font>
      <b/>
      <sz val="14"/>
      <name val="Calibri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name val="Microsoft Sans Serif"/>
    </font>
    <font>
      <sz val="10"/>
      <name val="Microsoft Sans Serif"/>
      <family val="2"/>
    </font>
    <font>
      <sz val="12"/>
      <color rgb="FF000000"/>
      <name val="Microsoft Sans Serif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907A"/>
      </patternFill>
    </fill>
    <fill>
      <patternFill patternType="solid">
        <fgColor rgb="FFF7921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164" fontId="1" fillId="2" borderId="3" xfId="0" applyNumberFormat="1" applyFont="1" applyFill="1" applyBorder="1" applyAlignment="1">
      <alignment horizontal="right" vertical="top" shrinkToFit="1"/>
    </xf>
    <xf numFmtId="0" fontId="2" fillId="0" borderId="3" xfId="0" applyFont="1" applyBorder="1" applyAlignment="1">
      <alignment horizontal="left" vertical="top" wrapText="1" indent="5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2"/>
    </xf>
    <xf numFmtId="164" fontId="3" fillId="3" borderId="3" xfId="0" applyNumberFormat="1" applyFont="1" applyFill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2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164" fontId="11" fillId="0" borderId="3" xfId="0" applyNumberFormat="1" applyFont="1" applyBorder="1" applyAlignment="1">
      <alignment horizontal="right" vertical="top" shrinkToFit="1"/>
    </xf>
    <xf numFmtId="164" fontId="12" fillId="0" borderId="3" xfId="0" applyNumberFormat="1" applyFont="1" applyBorder="1" applyAlignment="1">
      <alignment horizontal="center" vertical="top" shrinkToFit="1"/>
    </xf>
    <xf numFmtId="164" fontId="12" fillId="0" borderId="4" xfId="0" applyNumberFormat="1" applyFont="1" applyBorder="1" applyAlignment="1">
      <alignment horizontal="center" vertical="top" shrinkToFit="1"/>
    </xf>
    <xf numFmtId="164" fontId="12" fillId="0" borderId="4" xfId="0" applyNumberFormat="1" applyFont="1" applyBorder="1" applyAlignment="1">
      <alignment vertical="top" shrinkToFit="1"/>
    </xf>
    <xf numFmtId="0" fontId="2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zoomScaleNormal="100" workbookViewId="0">
      <selection activeCell="G3" sqref="G3"/>
    </sheetView>
  </sheetViews>
  <sheetFormatPr defaultRowHeight="12.75" x14ac:dyDescent="0.2"/>
  <cols>
    <col min="1" max="1" width="36.1640625" customWidth="1"/>
    <col min="2" max="4" width="16" customWidth="1"/>
    <col min="5" max="5" width="16.6640625" customWidth="1"/>
    <col min="6" max="6" width="17" bestFit="1" customWidth="1"/>
    <col min="7" max="7" width="19" bestFit="1" customWidth="1"/>
    <col min="8" max="8" width="14.1640625" bestFit="1" customWidth="1"/>
    <col min="12" max="12" width="15" bestFit="1" customWidth="1"/>
  </cols>
  <sheetData>
    <row r="1" spans="1:8" ht="21" customHeight="1" x14ac:dyDescent="0.2">
      <c r="A1" s="16"/>
      <c r="B1" s="16"/>
      <c r="C1" s="16"/>
      <c r="D1" s="16"/>
      <c r="E1" s="16"/>
    </row>
    <row r="2" spans="1:8" ht="27" customHeight="1" x14ac:dyDescent="0.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t="s">
        <v>26</v>
      </c>
      <c r="G2" s="8" t="s">
        <v>27</v>
      </c>
      <c r="H2" s="8" t="s">
        <v>8</v>
      </c>
    </row>
    <row r="3" spans="1:8" ht="27" customHeight="1" x14ac:dyDescent="0.2">
      <c r="A3" s="11" t="s">
        <v>16</v>
      </c>
      <c r="B3" s="12">
        <v>179</v>
      </c>
      <c r="C3" s="12">
        <v>179</v>
      </c>
      <c r="D3" s="6">
        <v>179</v>
      </c>
      <c r="E3" s="5">
        <f t="shared" ref="E3:E17" si="0">SUM(B3:D3)</f>
        <v>537</v>
      </c>
      <c r="F3" s="10">
        <f>E3/3</f>
        <v>179</v>
      </c>
      <c r="G3" s="10">
        <f>F3/6</f>
        <v>29.833333333333332</v>
      </c>
      <c r="H3" s="10">
        <f t="shared" ref="H3:H17" si="1">G3/3</f>
        <v>9.9444444444444446</v>
      </c>
    </row>
    <row r="4" spans="1:8" ht="27" customHeight="1" x14ac:dyDescent="0.2">
      <c r="A4" s="11" t="s">
        <v>18</v>
      </c>
      <c r="B4" s="12">
        <v>178.1</v>
      </c>
      <c r="C4" s="12">
        <v>176.5</v>
      </c>
      <c r="D4" s="6">
        <v>179</v>
      </c>
      <c r="E4" s="5">
        <f t="shared" si="0"/>
        <v>533.6</v>
      </c>
      <c r="F4" s="10">
        <f t="shared" ref="F4:F17" si="2">E4/3</f>
        <v>177.86666666666667</v>
      </c>
      <c r="G4" s="10">
        <f t="shared" ref="G4:G17" si="3">F4/6</f>
        <v>29.644444444444446</v>
      </c>
      <c r="H4" s="10">
        <f t="shared" si="1"/>
        <v>9.8814814814814813</v>
      </c>
    </row>
    <row r="5" spans="1:8" ht="27" customHeight="1" x14ac:dyDescent="0.2">
      <c r="A5" s="11" t="s">
        <v>11</v>
      </c>
      <c r="B5" s="12">
        <v>179.7</v>
      </c>
      <c r="C5" s="12">
        <v>179.8</v>
      </c>
      <c r="D5" s="6">
        <v>180</v>
      </c>
      <c r="E5" s="5">
        <f t="shared" si="0"/>
        <v>539.5</v>
      </c>
      <c r="F5" s="10">
        <f t="shared" si="2"/>
        <v>179.83333333333334</v>
      </c>
      <c r="G5" s="10">
        <f t="shared" si="3"/>
        <v>29.972222222222225</v>
      </c>
      <c r="H5" s="10">
        <f t="shared" si="1"/>
        <v>9.9907407407407423</v>
      </c>
    </row>
    <row r="6" spans="1:8" ht="27" customHeight="1" x14ac:dyDescent="0.2">
      <c r="A6" s="11" t="s">
        <v>20</v>
      </c>
      <c r="B6" s="12">
        <v>177.7</v>
      </c>
      <c r="C6" s="12">
        <v>178.2</v>
      </c>
      <c r="D6" s="6">
        <v>178.7</v>
      </c>
      <c r="E6" s="5">
        <f t="shared" si="0"/>
        <v>534.59999999999991</v>
      </c>
      <c r="F6" s="10">
        <f t="shared" si="2"/>
        <v>178.19999999999996</v>
      </c>
      <c r="G6" s="10">
        <f t="shared" si="3"/>
        <v>29.699999999999992</v>
      </c>
      <c r="H6" s="10">
        <f t="shared" si="1"/>
        <v>9.8999999999999968</v>
      </c>
    </row>
    <row r="7" spans="1:8" ht="27" customHeight="1" x14ac:dyDescent="0.2">
      <c r="A7" s="11" t="s">
        <v>25</v>
      </c>
      <c r="B7" s="12">
        <v>175.6</v>
      </c>
      <c r="C7" s="12">
        <v>177.9</v>
      </c>
      <c r="D7" s="6">
        <v>177.5</v>
      </c>
      <c r="E7" s="5">
        <f t="shared" si="0"/>
        <v>531</v>
      </c>
      <c r="F7" s="10">
        <f t="shared" si="2"/>
        <v>177</v>
      </c>
      <c r="G7" s="10">
        <f t="shared" si="3"/>
        <v>29.5</v>
      </c>
      <c r="H7" s="10">
        <f t="shared" si="1"/>
        <v>9.8333333333333339</v>
      </c>
    </row>
    <row r="8" spans="1:8" ht="27" customHeight="1" x14ac:dyDescent="0.2">
      <c r="A8" s="11" t="s">
        <v>24</v>
      </c>
      <c r="B8" s="12">
        <v>175.8</v>
      </c>
      <c r="C8" s="12">
        <v>176.7</v>
      </c>
      <c r="D8" s="6">
        <v>178.6</v>
      </c>
      <c r="E8" s="5">
        <f t="shared" si="0"/>
        <v>531.1</v>
      </c>
      <c r="F8" s="10">
        <f t="shared" si="2"/>
        <v>177.03333333333333</v>
      </c>
      <c r="G8" s="10">
        <f t="shared" si="3"/>
        <v>29.505555555555556</v>
      </c>
      <c r="H8" s="10">
        <f t="shared" si="1"/>
        <v>9.8351851851851855</v>
      </c>
    </row>
    <row r="9" spans="1:8" ht="27" customHeight="1" x14ac:dyDescent="0.2">
      <c r="A9" s="11" t="s">
        <v>12</v>
      </c>
      <c r="B9" s="12">
        <v>179.6</v>
      </c>
      <c r="C9" s="12">
        <v>179.4</v>
      </c>
      <c r="D9" s="6">
        <v>179.4</v>
      </c>
      <c r="E9" s="5">
        <f t="shared" si="0"/>
        <v>538.4</v>
      </c>
      <c r="F9" s="10">
        <f t="shared" si="2"/>
        <v>179.46666666666667</v>
      </c>
      <c r="G9" s="10">
        <f t="shared" si="3"/>
        <v>29.911111111111111</v>
      </c>
      <c r="H9" s="10">
        <f t="shared" si="1"/>
        <v>9.9703703703703699</v>
      </c>
    </row>
    <row r="10" spans="1:8" ht="27" customHeight="1" x14ac:dyDescent="0.2">
      <c r="A10" s="11" t="s">
        <v>15</v>
      </c>
      <c r="B10" s="12">
        <v>179.4</v>
      </c>
      <c r="C10" s="12">
        <v>179.6</v>
      </c>
      <c r="D10" s="6">
        <v>179.6</v>
      </c>
      <c r="E10" s="5">
        <f t="shared" si="0"/>
        <v>538.6</v>
      </c>
      <c r="F10" s="10">
        <f t="shared" si="2"/>
        <v>179.53333333333333</v>
      </c>
      <c r="G10" s="10">
        <f t="shared" si="3"/>
        <v>29.922222222222221</v>
      </c>
      <c r="H10" s="10">
        <f t="shared" si="1"/>
        <v>9.974074074074073</v>
      </c>
    </row>
    <row r="11" spans="1:8" ht="27" customHeight="1" x14ac:dyDescent="0.2">
      <c r="A11" s="11" t="s">
        <v>13</v>
      </c>
      <c r="B11" s="12">
        <v>179.4</v>
      </c>
      <c r="C11" s="12">
        <v>178.8</v>
      </c>
      <c r="D11" s="6">
        <v>179.1</v>
      </c>
      <c r="E11" s="5">
        <f t="shared" si="0"/>
        <v>537.30000000000007</v>
      </c>
      <c r="F11" s="10">
        <f t="shared" si="2"/>
        <v>179.10000000000002</v>
      </c>
      <c r="G11" s="10">
        <f t="shared" si="3"/>
        <v>29.850000000000005</v>
      </c>
      <c r="H11" s="10">
        <f t="shared" si="1"/>
        <v>9.9500000000000011</v>
      </c>
    </row>
    <row r="12" spans="1:8" ht="27" customHeight="1" x14ac:dyDescent="0.2">
      <c r="A12" s="11" t="s">
        <v>14</v>
      </c>
      <c r="B12" s="12">
        <v>179.4</v>
      </c>
      <c r="C12" s="12">
        <v>178.3</v>
      </c>
      <c r="D12" s="6">
        <v>178.8</v>
      </c>
      <c r="E12" s="5">
        <f t="shared" si="0"/>
        <v>536.5</v>
      </c>
      <c r="F12" s="10">
        <f t="shared" si="2"/>
        <v>178.83333333333334</v>
      </c>
      <c r="G12" s="10">
        <f t="shared" si="3"/>
        <v>29.805555555555557</v>
      </c>
      <c r="H12" s="10">
        <f t="shared" si="1"/>
        <v>9.9351851851851851</v>
      </c>
    </row>
    <row r="13" spans="1:8" ht="27" customHeight="1" x14ac:dyDescent="0.2">
      <c r="A13" s="11" t="s">
        <v>17</v>
      </c>
      <c r="B13" s="12">
        <v>178.7</v>
      </c>
      <c r="C13" s="12">
        <v>178.7</v>
      </c>
      <c r="D13" s="6">
        <v>179.1</v>
      </c>
      <c r="E13" s="5">
        <f t="shared" si="0"/>
        <v>536.5</v>
      </c>
      <c r="F13" s="10">
        <f t="shared" si="2"/>
        <v>178.83333333333334</v>
      </c>
      <c r="G13" s="10">
        <f t="shared" si="3"/>
        <v>29.805555555555557</v>
      </c>
      <c r="H13" s="10">
        <f t="shared" si="1"/>
        <v>9.9351851851851851</v>
      </c>
    </row>
    <row r="14" spans="1:8" ht="27" customHeight="1" x14ac:dyDescent="0.2">
      <c r="A14" s="11" t="s">
        <v>19</v>
      </c>
      <c r="B14" s="12">
        <v>177.7</v>
      </c>
      <c r="C14" s="12">
        <v>178.6</v>
      </c>
      <c r="D14" s="6">
        <v>178.7</v>
      </c>
      <c r="E14" s="5">
        <f t="shared" si="0"/>
        <v>535</v>
      </c>
      <c r="F14" s="10">
        <f t="shared" si="2"/>
        <v>178.33333333333334</v>
      </c>
      <c r="G14" s="10">
        <f t="shared" si="3"/>
        <v>29.722222222222225</v>
      </c>
      <c r="H14" s="10">
        <f t="shared" si="1"/>
        <v>9.9074074074074083</v>
      </c>
    </row>
    <row r="15" spans="1:8" ht="27" customHeight="1" x14ac:dyDescent="0.2">
      <c r="A15" s="11" t="s">
        <v>21</v>
      </c>
      <c r="B15" s="12">
        <v>177.3</v>
      </c>
      <c r="C15" s="12">
        <v>178</v>
      </c>
      <c r="D15" s="6">
        <v>178.7</v>
      </c>
      <c r="E15" s="5">
        <f t="shared" si="0"/>
        <v>534</v>
      </c>
      <c r="F15" s="10">
        <f t="shared" si="2"/>
        <v>178</v>
      </c>
      <c r="G15" s="10">
        <f t="shared" si="3"/>
        <v>29.666666666666668</v>
      </c>
      <c r="H15" s="10">
        <f t="shared" si="1"/>
        <v>9.8888888888888893</v>
      </c>
    </row>
    <row r="16" spans="1:8" ht="27" customHeight="1" x14ac:dyDescent="0.2">
      <c r="A16" s="11" t="s">
        <v>22</v>
      </c>
      <c r="B16" s="12">
        <v>177</v>
      </c>
      <c r="C16" s="12">
        <v>175.1</v>
      </c>
      <c r="D16" s="6">
        <v>177.6</v>
      </c>
      <c r="E16" s="5">
        <f t="shared" si="0"/>
        <v>529.70000000000005</v>
      </c>
      <c r="F16" s="10">
        <f t="shared" si="2"/>
        <v>176.56666666666669</v>
      </c>
      <c r="G16" s="10">
        <f t="shared" si="3"/>
        <v>29.427777777777781</v>
      </c>
      <c r="H16" s="10">
        <f t="shared" si="1"/>
        <v>9.8092592592592602</v>
      </c>
    </row>
    <row r="17" spans="1:8" ht="27" customHeight="1" x14ac:dyDescent="0.2">
      <c r="A17" s="11" t="s">
        <v>23</v>
      </c>
      <c r="B17" s="12">
        <v>176.6</v>
      </c>
      <c r="C17" s="12">
        <v>175.9</v>
      </c>
      <c r="D17" s="6">
        <v>178.1</v>
      </c>
      <c r="E17" s="5">
        <f t="shared" si="0"/>
        <v>530.6</v>
      </c>
      <c r="F17" s="10">
        <f t="shared" si="2"/>
        <v>176.86666666666667</v>
      </c>
      <c r="G17" s="10">
        <f t="shared" si="3"/>
        <v>29.477777777777778</v>
      </c>
      <c r="H17" s="10">
        <f t="shared" si="1"/>
        <v>9.825925925925926</v>
      </c>
    </row>
    <row r="18" spans="1:8" ht="21" customHeight="1" x14ac:dyDescent="0.2">
      <c r="A18" s="17"/>
      <c r="B18" s="17"/>
      <c r="C18" s="17"/>
      <c r="D18" s="17"/>
      <c r="E18" s="17"/>
    </row>
  </sheetData>
  <sortState xmlns:xlrd2="http://schemas.microsoft.com/office/spreadsheetml/2017/richdata2" ref="A3:B17">
    <sortCondition ref="A3:A17"/>
  </sortState>
  <mergeCells count="2">
    <mergeCell ref="A1:E1"/>
    <mergeCell ref="A18:E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F689-65FD-4730-B49C-CFCD4C137F95}">
  <dimension ref="A1:G16"/>
  <sheetViews>
    <sheetView tabSelected="1" zoomScale="175" zoomScaleNormal="175" workbookViewId="0">
      <selection activeCell="G2" sqref="G2"/>
    </sheetView>
  </sheetViews>
  <sheetFormatPr defaultRowHeight="12.75" x14ac:dyDescent="0.2"/>
  <cols>
    <col min="1" max="1" width="13.83203125" bestFit="1" customWidth="1"/>
    <col min="2" max="4" width="9.6640625" bestFit="1" customWidth="1"/>
    <col min="5" max="5" width="8.1640625" bestFit="1" customWidth="1"/>
    <col min="6" max="6" width="15.83203125" bestFit="1" customWidth="1"/>
    <col min="7" max="7" width="14.1640625" bestFit="1" customWidth="1"/>
  </cols>
  <sheetData>
    <row r="1" spans="1:7" x14ac:dyDescent="0.2">
      <c r="A1" s="8" t="s">
        <v>9</v>
      </c>
      <c r="B1" s="8" t="s">
        <v>5</v>
      </c>
      <c r="C1" s="8" t="s">
        <v>6</v>
      </c>
      <c r="D1" s="8" t="s">
        <v>7</v>
      </c>
      <c r="E1" s="9" t="s">
        <v>10</v>
      </c>
      <c r="F1" s="7" t="s">
        <v>28</v>
      </c>
      <c r="G1" s="9" t="s">
        <v>8</v>
      </c>
    </row>
    <row r="2" spans="1:7" ht="25.5" x14ac:dyDescent="0.2">
      <c r="A2" s="11" t="s">
        <v>16</v>
      </c>
      <c r="B2" s="13">
        <v>29.6</v>
      </c>
      <c r="C2" s="13">
        <v>29.5</v>
      </c>
      <c r="D2" s="1">
        <v>29.5</v>
      </c>
      <c r="E2" s="10">
        <f t="shared" ref="E2:E16" si="0">SUM(B2:D2)</f>
        <v>88.6</v>
      </c>
      <c r="F2" s="10">
        <f>E2/3</f>
        <v>29.533333333333331</v>
      </c>
      <c r="G2" s="10">
        <f>F2/3</f>
        <v>9.8444444444444432</v>
      </c>
    </row>
    <row r="3" spans="1:7" ht="38.25" x14ac:dyDescent="0.2">
      <c r="A3" s="11" t="s">
        <v>18</v>
      </c>
      <c r="B3" s="13">
        <v>29.4</v>
      </c>
      <c r="C3" s="13">
        <v>28.9</v>
      </c>
      <c r="D3" s="1">
        <v>29.3</v>
      </c>
      <c r="E3" s="10">
        <f t="shared" si="0"/>
        <v>87.6</v>
      </c>
      <c r="F3" s="10">
        <f t="shared" ref="F3:F16" si="1">E3/3</f>
        <v>29.2</v>
      </c>
      <c r="G3" s="10">
        <f t="shared" ref="G3:G16" si="2">F3/3</f>
        <v>9.7333333333333325</v>
      </c>
    </row>
    <row r="4" spans="1:7" ht="25.5" x14ac:dyDescent="0.2">
      <c r="A4" s="11" t="s">
        <v>11</v>
      </c>
      <c r="B4" s="13">
        <v>29.7</v>
      </c>
      <c r="C4" s="13">
        <v>29.9</v>
      </c>
      <c r="D4" s="1">
        <v>30</v>
      </c>
      <c r="E4" s="10">
        <f t="shared" si="0"/>
        <v>89.6</v>
      </c>
      <c r="F4" s="10">
        <f t="shared" si="1"/>
        <v>29.866666666666664</v>
      </c>
      <c r="G4" s="10">
        <f t="shared" si="2"/>
        <v>9.9555555555555539</v>
      </c>
    </row>
    <row r="5" spans="1:7" x14ac:dyDescent="0.2">
      <c r="A5" s="11" t="s">
        <v>20</v>
      </c>
      <c r="B5" s="13">
        <v>29.2</v>
      </c>
      <c r="C5" s="13">
        <v>29.2</v>
      </c>
      <c r="D5" s="1">
        <v>29.3</v>
      </c>
      <c r="E5" s="10">
        <f t="shared" si="0"/>
        <v>87.7</v>
      </c>
      <c r="F5" s="10">
        <f t="shared" si="1"/>
        <v>29.233333333333334</v>
      </c>
      <c r="G5" s="10">
        <f t="shared" si="2"/>
        <v>9.7444444444444454</v>
      </c>
    </row>
    <row r="6" spans="1:7" ht="25.5" x14ac:dyDescent="0.2">
      <c r="A6" s="11" t="s">
        <v>25</v>
      </c>
      <c r="B6" s="13">
        <v>28.9</v>
      </c>
      <c r="C6" s="13">
        <v>29.5</v>
      </c>
      <c r="D6" s="1">
        <v>29.4</v>
      </c>
      <c r="E6" s="10">
        <f t="shared" si="0"/>
        <v>87.8</v>
      </c>
      <c r="F6" s="10">
        <f t="shared" si="1"/>
        <v>29.266666666666666</v>
      </c>
      <c r="G6" s="10">
        <f t="shared" si="2"/>
        <v>9.7555555555555546</v>
      </c>
    </row>
    <row r="7" spans="1:7" ht="38.25" x14ac:dyDescent="0.2">
      <c r="A7" s="11" t="s">
        <v>24</v>
      </c>
      <c r="B7" s="13">
        <v>29.1</v>
      </c>
      <c r="C7" s="13">
        <v>28.8</v>
      </c>
      <c r="D7" s="1">
        <v>29.2</v>
      </c>
      <c r="E7" s="10">
        <f t="shared" si="0"/>
        <v>87.100000000000009</v>
      </c>
      <c r="F7" s="10">
        <f t="shared" si="1"/>
        <v>29.033333333333335</v>
      </c>
      <c r="G7" s="10">
        <f t="shared" si="2"/>
        <v>9.6777777777777789</v>
      </c>
    </row>
    <row r="8" spans="1:7" ht="25.5" x14ac:dyDescent="0.2">
      <c r="A8" s="11" t="s">
        <v>12</v>
      </c>
      <c r="B8" s="13">
        <v>29.6</v>
      </c>
      <c r="C8" s="13">
        <v>29.7</v>
      </c>
      <c r="D8" s="1">
        <v>29.6</v>
      </c>
      <c r="E8" s="10">
        <f t="shared" si="0"/>
        <v>88.9</v>
      </c>
      <c r="F8" s="10">
        <f t="shared" si="1"/>
        <v>29.633333333333336</v>
      </c>
      <c r="G8" s="10">
        <f t="shared" si="2"/>
        <v>9.8777777777777782</v>
      </c>
    </row>
    <row r="9" spans="1:7" ht="25.5" x14ac:dyDescent="0.2">
      <c r="A9" s="11" t="s">
        <v>15</v>
      </c>
      <c r="B9" s="13">
        <v>29.9</v>
      </c>
      <c r="C9" s="13">
        <v>30</v>
      </c>
      <c r="D9" s="1">
        <v>29.8</v>
      </c>
      <c r="E9" s="10">
        <f t="shared" si="0"/>
        <v>89.7</v>
      </c>
      <c r="F9" s="10">
        <f t="shared" si="1"/>
        <v>29.900000000000002</v>
      </c>
      <c r="G9" s="10">
        <f t="shared" si="2"/>
        <v>9.9666666666666668</v>
      </c>
    </row>
    <row r="10" spans="1:7" x14ac:dyDescent="0.2">
      <c r="A10" s="11" t="s">
        <v>13</v>
      </c>
      <c r="B10" s="13">
        <v>29.6</v>
      </c>
      <c r="C10" s="13">
        <v>29.4</v>
      </c>
      <c r="D10" s="1">
        <v>29.6</v>
      </c>
      <c r="E10" s="10">
        <f t="shared" si="0"/>
        <v>88.6</v>
      </c>
      <c r="F10" s="10">
        <f t="shared" si="1"/>
        <v>29.533333333333331</v>
      </c>
      <c r="G10" s="10">
        <f t="shared" si="2"/>
        <v>9.8444444444444432</v>
      </c>
    </row>
    <row r="11" spans="1:7" ht="25.5" x14ac:dyDescent="0.2">
      <c r="A11" s="11" t="s">
        <v>14</v>
      </c>
      <c r="B11" s="13">
        <v>29.7</v>
      </c>
      <c r="C11" s="13">
        <v>29.2</v>
      </c>
      <c r="D11" s="1">
        <v>29.6</v>
      </c>
      <c r="E11" s="10">
        <f t="shared" si="0"/>
        <v>88.5</v>
      </c>
      <c r="F11" s="10">
        <f t="shared" si="1"/>
        <v>29.5</v>
      </c>
      <c r="G11" s="10">
        <f t="shared" si="2"/>
        <v>9.8333333333333339</v>
      </c>
    </row>
    <row r="12" spans="1:7" ht="25.5" x14ac:dyDescent="0.2">
      <c r="A12" s="11" t="s">
        <v>17</v>
      </c>
      <c r="B12" s="13">
        <v>29.7</v>
      </c>
      <c r="C12" s="13">
        <v>29.5</v>
      </c>
      <c r="D12" s="1">
        <v>29.7</v>
      </c>
      <c r="E12" s="10">
        <f t="shared" si="0"/>
        <v>88.9</v>
      </c>
      <c r="F12" s="10">
        <f t="shared" si="1"/>
        <v>29.633333333333336</v>
      </c>
      <c r="G12" s="10">
        <f t="shared" si="2"/>
        <v>9.8777777777777782</v>
      </c>
    </row>
    <row r="13" spans="1:7" x14ac:dyDescent="0.2">
      <c r="A13" s="11" t="s">
        <v>19</v>
      </c>
      <c r="B13" s="13">
        <v>29.5</v>
      </c>
      <c r="C13" s="13">
        <v>29.4</v>
      </c>
      <c r="D13" s="1">
        <v>29.4</v>
      </c>
      <c r="E13" s="10">
        <f t="shared" si="0"/>
        <v>88.3</v>
      </c>
      <c r="F13" s="10">
        <f t="shared" si="1"/>
        <v>29.433333333333334</v>
      </c>
      <c r="G13" s="10">
        <f t="shared" si="2"/>
        <v>9.8111111111111118</v>
      </c>
    </row>
    <row r="14" spans="1:7" ht="25.5" x14ac:dyDescent="0.2">
      <c r="A14" s="11" t="s">
        <v>21</v>
      </c>
      <c r="B14" s="13">
        <v>29.5</v>
      </c>
      <c r="C14" s="13">
        <v>29.3</v>
      </c>
      <c r="D14" s="1">
        <v>29.4</v>
      </c>
      <c r="E14" s="10">
        <f t="shared" si="0"/>
        <v>88.199999999999989</v>
      </c>
      <c r="F14" s="10">
        <f t="shared" si="1"/>
        <v>29.399999999999995</v>
      </c>
      <c r="G14" s="10">
        <f t="shared" si="2"/>
        <v>9.7999999999999989</v>
      </c>
    </row>
    <row r="15" spans="1:7" x14ac:dyDescent="0.2">
      <c r="A15" s="11" t="s">
        <v>22</v>
      </c>
      <c r="B15" s="13">
        <v>29.2</v>
      </c>
      <c r="C15" s="13">
        <v>28.6</v>
      </c>
      <c r="D15" s="1">
        <v>28.9</v>
      </c>
      <c r="E15" s="10">
        <f t="shared" si="0"/>
        <v>86.699999999999989</v>
      </c>
      <c r="F15" s="10">
        <f t="shared" si="1"/>
        <v>28.899999999999995</v>
      </c>
      <c r="G15" s="10">
        <f t="shared" si="2"/>
        <v>9.6333333333333311</v>
      </c>
    </row>
    <row r="16" spans="1:7" ht="25.5" x14ac:dyDescent="0.2">
      <c r="A16" s="11" t="s">
        <v>23</v>
      </c>
      <c r="B16" s="13">
        <v>28.8</v>
      </c>
      <c r="C16" s="13">
        <v>28.8</v>
      </c>
      <c r="D16" s="1">
        <v>29.2</v>
      </c>
      <c r="E16" s="10">
        <f t="shared" si="0"/>
        <v>86.8</v>
      </c>
      <c r="F16" s="10">
        <f t="shared" si="1"/>
        <v>28.933333333333334</v>
      </c>
      <c r="G16" s="10">
        <f t="shared" si="2"/>
        <v>9.6444444444444439</v>
      </c>
    </row>
  </sheetData>
  <sortState xmlns:xlrd2="http://schemas.microsoft.com/office/spreadsheetml/2017/richdata2" ref="A2:B16">
    <sortCondition ref="A2:A16"/>
  </sortState>
  <phoneticPr fontId="8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73F9-63C3-495D-B656-318CA6A7059B}">
  <dimension ref="A1:G16"/>
  <sheetViews>
    <sheetView topLeftCell="A4" zoomScale="130" zoomScaleNormal="130" workbookViewId="0">
      <selection activeCell="D17" sqref="D17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8" t="s">
        <v>9</v>
      </c>
      <c r="B1" s="8" t="s">
        <v>5</v>
      </c>
      <c r="C1" s="8" t="s">
        <v>6</v>
      </c>
      <c r="D1" s="8" t="s">
        <v>7</v>
      </c>
      <c r="E1" s="9" t="s">
        <v>10</v>
      </c>
      <c r="F1" s="7"/>
      <c r="G1" s="9" t="s">
        <v>8</v>
      </c>
    </row>
    <row r="2" spans="1:7" ht="25.5" x14ac:dyDescent="0.2">
      <c r="A2" s="11" t="s">
        <v>16</v>
      </c>
      <c r="B2" s="13">
        <v>29.8</v>
      </c>
      <c r="C2" s="14">
        <v>30</v>
      </c>
      <c r="D2" s="1">
        <v>29.8</v>
      </c>
      <c r="E2" s="10">
        <f t="shared" ref="E2:E16" si="0">SUM(B2:D2)</f>
        <v>89.6</v>
      </c>
      <c r="F2" s="10">
        <f>E2/2</f>
        <v>44.8</v>
      </c>
      <c r="G2" s="10">
        <f t="shared" ref="G2:G16" si="1">F2/3</f>
        <v>14.933333333333332</v>
      </c>
    </row>
    <row r="3" spans="1:7" ht="51" x14ac:dyDescent="0.2">
      <c r="A3" s="11" t="s">
        <v>18</v>
      </c>
      <c r="B3" s="13">
        <v>29.6</v>
      </c>
      <c r="C3" s="14">
        <v>29.3</v>
      </c>
      <c r="D3" s="1">
        <v>30</v>
      </c>
      <c r="E3" s="10">
        <f t="shared" si="0"/>
        <v>88.9</v>
      </c>
      <c r="F3" s="10">
        <f t="shared" ref="F3:F16" si="2">E3/2</f>
        <v>44.45</v>
      </c>
      <c r="G3" s="10">
        <f t="shared" si="1"/>
        <v>14.816666666666668</v>
      </c>
    </row>
    <row r="4" spans="1:7" ht="25.5" x14ac:dyDescent="0.2">
      <c r="A4" s="11" t="s">
        <v>11</v>
      </c>
      <c r="B4" s="13">
        <v>30</v>
      </c>
      <c r="C4" s="14">
        <v>30</v>
      </c>
      <c r="D4" s="1">
        <v>30</v>
      </c>
      <c r="E4" s="10">
        <f t="shared" si="0"/>
        <v>90</v>
      </c>
      <c r="F4" s="10">
        <f t="shared" si="2"/>
        <v>45</v>
      </c>
      <c r="G4" s="10">
        <f t="shared" si="1"/>
        <v>15</v>
      </c>
    </row>
    <row r="5" spans="1:7" ht="25.5" x14ac:dyDescent="0.2">
      <c r="A5" s="11" t="s">
        <v>20</v>
      </c>
      <c r="B5" s="13">
        <v>29.5</v>
      </c>
      <c r="C5" s="14">
        <v>29.7</v>
      </c>
      <c r="D5" s="1">
        <v>30</v>
      </c>
      <c r="E5" s="10">
        <f t="shared" si="0"/>
        <v>89.2</v>
      </c>
      <c r="F5" s="10">
        <f t="shared" si="2"/>
        <v>44.6</v>
      </c>
      <c r="G5" s="10">
        <f t="shared" si="1"/>
        <v>14.866666666666667</v>
      </c>
    </row>
    <row r="6" spans="1:7" ht="38.25" x14ac:dyDescent="0.2">
      <c r="A6" s="11" t="s">
        <v>25</v>
      </c>
      <c r="B6" s="13">
        <v>29.3</v>
      </c>
      <c r="C6" s="14">
        <v>29.7</v>
      </c>
      <c r="D6" s="1">
        <v>29.5</v>
      </c>
      <c r="E6" s="10">
        <f t="shared" si="0"/>
        <v>88.5</v>
      </c>
      <c r="F6" s="10">
        <f t="shared" si="2"/>
        <v>44.25</v>
      </c>
      <c r="G6" s="10">
        <f t="shared" si="1"/>
        <v>14.75</v>
      </c>
    </row>
    <row r="7" spans="1:7" ht="38.25" x14ac:dyDescent="0.2">
      <c r="A7" s="11" t="s">
        <v>24</v>
      </c>
      <c r="B7" s="13">
        <v>29.4</v>
      </c>
      <c r="C7" s="14">
        <v>29.6</v>
      </c>
      <c r="D7" s="1">
        <v>30</v>
      </c>
      <c r="E7" s="10">
        <f t="shared" si="0"/>
        <v>89</v>
      </c>
      <c r="F7" s="10">
        <f t="shared" si="2"/>
        <v>44.5</v>
      </c>
      <c r="G7" s="10">
        <f t="shared" si="1"/>
        <v>14.833333333333334</v>
      </c>
    </row>
    <row r="8" spans="1:7" ht="38.25" x14ac:dyDescent="0.2">
      <c r="A8" s="11" t="s">
        <v>12</v>
      </c>
      <c r="B8" s="13">
        <v>30</v>
      </c>
      <c r="C8" s="14">
        <v>30</v>
      </c>
      <c r="D8" s="1">
        <v>30</v>
      </c>
      <c r="E8" s="10">
        <f t="shared" si="0"/>
        <v>90</v>
      </c>
      <c r="F8" s="10">
        <f t="shared" si="2"/>
        <v>45</v>
      </c>
      <c r="G8" s="10">
        <f t="shared" si="1"/>
        <v>15</v>
      </c>
    </row>
    <row r="9" spans="1:7" ht="38.25" x14ac:dyDescent="0.2">
      <c r="A9" s="11" t="s">
        <v>15</v>
      </c>
      <c r="B9" s="13">
        <v>29.7</v>
      </c>
      <c r="C9" s="14">
        <v>30</v>
      </c>
      <c r="D9" s="1">
        <v>29.9</v>
      </c>
      <c r="E9" s="10">
        <f t="shared" si="0"/>
        <v>89.6</v>
      </c>
      <c r="F9" s="10">
        <f t="shared" si="2"/>
        <v>44.8</v>
      </c>
      <c r="G9" s="10">
        <f t="shared" si="1"/>
        <v>14.933333333333332</v>
      </c>
    </row>
    <row r="10" spans="1:7" ht="25.5" x14ac:dyDescent="0.2">
      <c r="A10" s="11" t="s">
        <v>13</v>
      </c>
      <c r="B10" s="13">
        <v>30</v>
      </c>
      <c r="C10" s="15">
        <v>29.7</v>
      </c>
      <c r="D10" s="1">
        <v>29.9</v>
      </c>
      <c r="E10" s="10">
        <f t="shared" si="0"/>
        <v>89.6</v>
      </c>
      <c r="F10" s="10">
        <f t="shared" si="2"/>
        <v>44.8</v>
      </c>
      <c r="G10" s="10">
        <f t="shared" si="1"/>
        <v>14.933333333333332</v>
      </c>
    </row>
    <row r="11" spans="1:7" ht="25.5" x14ac:dyDescent="0.2">
      <c r="A11" s="11" t="s">
        <v>14</v>
      </c>
      <c r="B11" s="13">
        <v>30</v>
      </c>
      <c r="C11" s="14">
        <v>29.8</v>
      </c>
      <c r="D11" s="1">
        <v>30</v>
      </c>
      <c r="E11" s="10">
        <f t="shared" si="0"/>
        <v>89.8</v>
      </c>
      <c r="F11" s="10">
        <f t="shared" si="2"/>
        <v>44.9</v>
      </c>
      <c r="G11" s="10">
        <f t="shared" si="1"/>
        <v>14.966666666666667</v>
      </c>
    </row>
    <row r="12" spans="1:7" ht="25.5" x14ac:dyDescent="0.2">
      <c r="A12" s="11" t="s">
        <v>17</v>
      </c>
      <c r="B12" s="13">
        <v>30</v>
      </c>
      <c r="C12" s="15">
        <v>30</v>
      </c>
      <c r="D12" s="1">
        <v>30</v>
      </c>
      <c r="E12" s="10">
        <f t="shared" si="0"/>
        <v>90</v>
      </c>
      <c r="F12" s="10">
        <f t="shared" si="2"/>
        <v>45</v>
      </c>
      <c r="G12" s="10">
        <f t="shared" si="1"/>
        <v>15</v>
      </c>
    </row>
    <row r="13" spans="1:7" ht="25.5" x14ac:dyDescent="0.2">
      <c r="A13" s="11" t="s">
        <v>19</v>
      </c>
      <c r="B13" s="13">
        <v>29.7</v>
      </c>
      <c r="C13" s="14">
        <v>29.7</v>
      </c>
      <c r="D13" s="1">
        <v>29.9</v>
      </c>
      <c r="E13" s="10">
        <f t="shared" si="0"/>
        <v>89.3</v>
      </c>
      <c r="F13" s="10">
        <f t="shared" si="2"/>
        <v>44.65</v>
      </c>
      <c r="G13" s="10">
        <f t="shared" si="1"/>
        <v>14.883333333333333</v>
      </c>
    </row>
    <row r="14" spans="1:7" ht="51" x14ac:dyDescent="0.2">
      <c r="A14" s="11" t="s">
        <v>21</v>
      </c>
      <c r="B14" s="13">
        <v>29.5</v>
      </c>
      <c r="C14" s="14">
        <v>29.5</v>
      </c>
      <c r="D14" s="1">
        <v>29.9</v>
      </c>
      <c r="E14" s="10">
        <f t="shared" si="0"/>
        <v>88.9</v>
      </c>
      <c r="F14" s="10">
        <f t="shared" si="2"/>
        <v>44.45</v>
      </c>
      <c r="G14" s="10">
        <f t="shared" si="1"/>
        <v>14.816666666666668</v>
      </c>
    </row>
    <row r="15" spans="1:7" ht="25.5" x14ac:dyDescent="0.2">
      <c r="A15" s="11" t="s">
        <v>22</v>
      </c>
      <c r="B15" s="13">
        <v>29.2</v>
      </c>
      <c r="C15" s="14">
        <v>28.7</v>
      </c>
      <c r="D15" s="1">
        <v>29.7</v>
      </c>
      <c r="E15" s="10">
        <f t="shared" si="0"/>
        <v>87.6</v>
      </c>
      <c r="F15" s="10">
        <f t="shared" si="2"/>
        <v>43.8</v>
      </c>
      <c r="G15" s="10">
        <f t="shared" si="1"/>
        <v>14.6</v>
      </c>
    </row>
    <row r="16" spans="1:7" ht="25.5" x14ac:dyDescent="0.2">
      <c r="A16" s="11" t="s">
        <v>23</v>
      </c>
      <c r="B16" s="13">
        <v>29.6</v>
      </c>
      <c r="C16" s="14">
        <v>29.1</v>
      </c>
      <c r="D16" s="1">
        <v>29.6</v>
      </c>
      <c r="E16" s="10">
        <f t="shared" si="0"/>
        <v>88.300000000000011</v>
      </c>
      <c r="F16" s="10">
        <f t="shared" si="2"/>
        <v>44.150000000000006</v>
      </c>
      <c r="G16" s="10">
        <f t="shared" si="1"/>
        <v>14.716666666666669</v>
      </c>
    </row>
  </sheetData>
  <sortState xmlns:xlrd2="http://schemas.microsoft.com/office/spreadsheetml/2017/richdata2" ref="A2:B16">
    <sortCondition ref="A2:A1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E741-8F5F-4AAE-A096-ED0C6A2E1E6B}">
  <dimension ref="A1:G16"/>
  <sheetViews>
    <sheetView workbookViewId="0">
      <selection activeCell="D17" sqref="D17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8" t="s">
        <v>9</v>
      </c>
      <c r="B1" s="8" t="s">
        <v>5</v>
      </c>
      <c r="C1" s="8" t="s">
        <v>6</v>
      </c>
      <c r="D1" s="8" t="s">
        <v>7</v>
      </c>
      <c r="E1" s="9" t="s">
        <v>10</v>
      </c>
      <c r="F1" s="7"/>
      <c r="G1" s="9" t="s">
        <v>8</v>
      </c>
    </row>
    <row r="2" spans="1:7" ht="25.5" x14ac:dyDescent="0.2">
      <c r="A2" s="11" t="s">
        <v>16</v>
      </c>
      <c r="B2" s="13">
        <v>30</v>
      </c>
      <c r="C2" s="14">
        <v>29.9</v>
      </c>
      <c r="D2" s="1">
        <v>30</v>
      </c>
      <c r="E2" s="10">
        <f t="shared" ref="E2:E16" si="0">SUM(B2:D2)</f>
        <v>89.9</v>
      </c>
      <c r="F2" s="10">
        <f>E2/2</f>
        <v>44.95</v>
      </c>
      <c r="G2" s="10">
        <f t="shared" ref="G2:G16" si="1">F2/3</f>
        <v>14.983333333333334</v>
      </c>
    </row>
    <row r="3" spans="1:7" ht="51" x14ac:dyDescent="0.2">
      <c r="A3" s="11" t="s">
        <v>18</v>
      </c>
      <c r="B3" s="13">
        <v>29.7</v>
      </c>
      <c r="C3" s="14">
        <v>29.6</v>
      </c>
      <c r="D3" s="1">
        <v>29.8</v>
      </c>
      <c r="E3" s="10">
        <f t="shared" si="0"/>
        <v>89.1</v>
      </c>
      <c r="F3" s="10">
        <f t="shared" ref="F3:F16" si="2">E3/2</f>
        <v>44.55</v>
      </c>
      <c r="G3" s="10">
        <f t="shared" si="1"/>
        <v>14.85</v>
      </c>
    </row>
    <row r="4" spans="1:7" ht="25.5" x14ac:dyDescent="0.2">
      <c r="A4" s="11" t="s">
        <v>11</v>
      </c>
      <c r="B4" s="13">
        <v>30</v>
      </c>
      <c r="C4" s="14">
        <v>30</v>
      </c>
      <c r="D4" s="1">
        <v>30</v>
      </c>
      <c r="E4" s="10">
        <f t="shared" si="0"/>
        <v>90</v>
      </c>
      <c r="F4" s="10">
        <f t="shared" si="2"/>
        <v>45</v>
      </c>
      <c r="G4" s="10">
        <f t="shared" si="1"/>
        <v>15</v>
      </c>
    </row>
    <row r="5" spans="1:7" ht="25.5" x14ac:dyDescent="0.2">
      <c r="A5" s="11" t="s">
        <v>20</v>
      </c>
      <c r="B5" s="13">
        <v>29.5</v>
      </c>
      <c r="C5" s="14">
        <v>29.7</v>
      </c>
      <c r="D5" s="1">
        <v>29.7</v>
      </c>
      <c r="E5" s="10">
        <f t="shared" si="0"/>
        <v>88.9</v>
      </c>
      <c r="F5" s="10">
        <f t="shared" si="2"/>
        <v>44.45</v>
      </c>
      <c r="G5" s="10">
        <f t="shared" si="1"/>
        <v>14.816666666666668</v>
      </c>
    </row>
    <row r="6" spans="1:7" ht="38.25" x14ac:dyDescent="0.2">
      <c r="A6" s="11" t="s">
        <v>25</v>
      </c>
      <c r="B6" s="13">
        <v>29.2</v>
      </c>
      <c r="C6" s="14">
        <v>29.7</v>
      </c>
      <c r="D6" s="1">
        <v>29.7</v>
      </c>
      <c r="E6" s="10">
        <f t="shared" si="0"/>
        <v>88.6</v>
      </c>
      <c r="F6" s="10">
        <f t="shared" si="2"/>
        <v>44.3</v>
      </c>
      <c r="G6" s="10">
        <f t="shared" si="1"/>
        <v>14.766666666666666</v>
      </c>
    </row>
    <row r="7" spans="1:7" ht="38.25" x14ac:dyDescent="0.2">
      <c r="A7" s="11" t="s">
        <v>24</v>
      </c>
      <c r="B7" s="13">
        <v>29.5</v>
      </c>
      <c r="C7" s="14">
        <v>29.3</v>
      </c>
      <c r="D7" s="1">
        <v>29.7</v>
      </c>
      <c r="E7" s="10">
        <f t="shared" si="0"/>
        <v>88.5</v>
      </c>
      <c r="F7" s="10">
        <f t="shared" si="2"/>
        <v>44.25</v>
      </c>
      <c r="G7" s="10">
        <f t="shared" si="1"/>
        <v>14.75</v>
      </c>
    </row>
    <row r="8" spans="1:7" ht="38.25" x14ac:dyDescent="0.2">
      <c r="A8" s="11" t="s">
        <v>12</v>
      </c>
      <c r="B8" s="13">
        <v>30</v>
      </c>
      <c r="C8" s="14">
        <v>30</v>
      </c>
      <c r="D8" s="1">
        <v>29.8</v>
      </c>
      <c r="E8" s="10">
        <f t="shared" si="0"/>
        <v>89.8</v>
      </c>
      <c r="F8" s="10">
        <f t="shared" si="2"/>
        <v>44.9</v>
      </c>
      <c r="G8" s="10">
        <f t="shared" si="1"/>
        <v>14.966666666666667</v>
      </c>
    </row>
    <row r="9" spans="1:7" ht="38.25" x14ac:dyDescent="0.2">
      <c r="A9" s="11" t="s">
        <v>15</v>
      </c>
      <c r="B9" s="13">
        <v>30</v>
      </c>
      <c r="C9" s="14">
        <v>29.8</v>
      </c>
      <c r="D9" s="1">
        <v>30</v>
      </c>
      <c r="E9" s="10">
        <f t="shared" si="0"/>
        <v>89.8</v>
      </c>
      <c r="F9" s="10">
        <f t="shared" si="2"/>
        <v>44.9</v>
      </c>
      <c r="G9" s="10">
        <f t="shared" si="1"/>
        <v>14.966666666666667</v>
      </c>
    </row>
    <row r="10" spans="1:7" ht="25.5" x14ac:dyDescent="0.2">
      <c r="A10" s="11" t="s">
        <v>13</v>
      </c>
      <c r="B10" s="13">
        <v>30</v>
      </c>
      <c r="C10" s="15">
        <v>29.9</v>
      </c>
      <c r="D10" s="1">
        <v>29.9</v>
      </c>
      <c r="E10" s="10">
        <f t="shared" si="0"/>
        <v>89.8</v>
      </c>
      <c r="F10" s="10">
        <f t="shared" si="2"/>
        <v>44.9</v>
      </c>
      <c r="G10" s="10">
        <f t="shared" si="1"/>
        <v>14.966666666666667</v>
      </c>
    </row>
    <row r="11" spans="1:7" ht="25.5" x14ac:dyDescent="0.2">
      <c r="A11" s="11" t="s">
        <v>14</v>
      </c>
      <c r="B11" s="13">
        <v>29.9</v>
      </c>
      <c r="C11" s="14">
        <v>30</v>
      </c>
      <c r="D11" s="1">
        <v>29.8</v>
      </c>
      <c r="E11" s="10">
        <f t="shared" si="0"/>
        <v>89.7</v>
      </c>
      <c r="F11" s="10">
        <f t="shared" si="2"/>
        <v>44.85</v>
      </c>
      <c r="G11" s="10">
        <f t="shared" si="1"/>
        <v>14.950000000000001</v>
      </c>
    </row>
    <row r="12" spans="1:7" ht="25.5" x14ac:dyDescent="0.2">
      <c r="A12" s="11" t="s">
        <v>17</v>
      </c>
      <c r="B12" s="13">
        <v>29.9</v>
      </c>
      <c r="C12" s="15">
        <v>29.9</v>
      </c>
      <c r="D12" s="1">
        <v>30</v>
      </c>
      <c r="E12" s="10">
        <f t="shared" si="0"/>
        <v>89.8</v>
      </c>
      <c r="F12" s="10">
        <f t="shared" si="2"/>
        <v>44.9</v>
      </c>
      <c r="G12" s="10">
        <f t="shared" si="1"/>
        <v>14.966666666666667</v>
      </c>
    </row>
    <row r="13" spans="1:7" ht="25.5" x14ac:dyDescent="0.2">
      <c r="A13" s="11" t="s">
        <v>19</v>
      </c>
      <c r="B13" s="13">
        <v>29.5</v>
      </c>
      <c r="C13" s="14">
        <v>29.8</v>
      </c>
      <c r="D13" s="1">
        <v>29.8</v>
      </c>
      <c r="E13" s="10">
        <f t="shared" si="0"/>
        <v>89.1</v>
      </c>
      <c r="F13" s="10">
        <f t="shared" si="2"/>
        <v>44.55</v>
      </c>
      <c r="G13" s="10">
        <f t="shared" si="1"/>
        <v>14.85</v>
      </c>
    </row>
    <row r="14" spans="1:7" ht="51" x14ac:dyDescent="0.2">
      <c r="A14" s="11" t="s">
        <v>21</v>
      </c>
      <c r="B14" s="13">
        <v>29.5</v>
      </c>
      <c r="C14" s="14">
        <v>29.8</v>
      </c>
      <c r="D14" s="1">
        <v>29.7</v>
      </c>
      <c r="E14" s="10">
        <f t="shared" si="0"/>
        <v>89</v>
      </c>
      <c r="F14" s="10">
        <f t="shared" si="2"/>
        <v>44.5</v>
      </c>
      <c r="G14" s="10">
        <f t="shared" si="1"/>
        <v>14.833333333333334</v>
      </c>
    </row>
    <row r="15" spans="1:7" ht="25.5" x14ac:dyDescent="0.2">
      <c r="A15" s="11" t="s">
        <v>22</v>
      </c>
      <c r="B15" s="13">
        <v>29.6</v>
      </c>
      <c r="C15" s="14">
        <v>29.2</v>
      </c>
      <c r="D15" s="1">
        <v>29.6</v>
      </c>
      <c r="E15" s="10">
        <f t="shared" si="0"/>
        <v>88.4</v>
      </c>
      <c r="F15" s="10">
        <f t="shared" si="2"/>
        <v>44.2</v>
      </c>
      <c r="G15" s="10">
        <f t="shared" si="1"/>
        <v>14.733333333333334</v>
      </c>
    </row>
    <row r="16" spans="1:7" ht="25.5" x14ac:dyDescent="0.2">
      <c r="A16" s="11" t="s">
        <v>23</v>
      </c>
      <c r="B16" s="13">
        <v>29.5</v>
      </c>
      <c r="C16" s="14">
        <v>29.3</v>
      </c>
      <c r="D16" s="1">
        <v>29.8</v>
      </c>
      <c r="E16" s="10">
        <f t="shared" si="0"/>
        <v>88.6</v>
      </c>
      <c r="F16" s="10">
        <f t="shared" si="2"/>
        <v>44.3</v>
      </c>
      <c r="G16" s="10">
        <f t="shared" si="1"/>
        <v>14.766666666666666</v>
      </c>
    </row>
  </sheetData>
  <sortState xmlns:xlrd2="http://schemas.microsoft.com/office/spreadsheetml/2017/richdata2" ref="A2:B16">
    <sortCondition ref="A2:A16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4AB1-7BAD-456A-9FD2-61DBA485FCBC}">
  <dimension ref="A1:G16"/>
  <sheetViews>
    <sheetView workbookViewId="0">
      <selection activeCell="D17" sqref="D17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8" t="s">
        <v>9</v>
      </c>
      <c r="B1" s="8" t="s">
        <v>5</v>
      </c>
      <c r="C1" s="8" t="s">
        <v>6</v>
      </c>
      <c r="D1" s="8" t="s">
        <v>7</v>
      </c>
      <c r="E1" s="9" t="s">
        <v>10</v>
      </c>
      <c r="F1" s="7"/>
      <c r="G1" s="9" t="s">
        <v>8</v>
      </c>
    </row>
    <row r="2" spans="1:7" ht="25.5" x14ac:dyDescent="0.2">
      <c r="A2" s="11" t="s">
        <v>16</v>
      </c>
      <c r="B2" s="13">
        <v>30</v>
      </c>
      <c r="C2" s="14">
        <v>29.8</v>
      </c>
      <c r="D2" s="1">
        <v>29.9</v>
      </c>
      <c r="E2" s="10">
        <f t="shared" ref="E2:E16" si="0">SUM(B2:D2)</f>
        <v>89.699999999999989</v>
      </c>
      <c r="F2" s="10">
        <f>E2/2</f>
        <v>44.849999999999994</v>
      </c>
      <c r="G2" s="10">
        <f t="shared" ref="G2:G16" si="1">F2/3</f>
        <v>14.949999999999998</v>
      </c>
    </row>
    <row r="3" spans="1:7" ht="51" x14ac:dyDescent="0.2">
      <c r="A3" s="11" t="s">
        <v>18</v>
      </c>
      <c r="B3" s="13">
        <v>29.6</v>
      </c>
      <c r="C3" s="14">
        <v>29.7</v>
      </c>
      <c r="D3" s="1">
        <v>30</v>
      </c>
      <c r="E3" s="10">
        <f t="shared" si="0"/>
        <v>89.3</v>
      </c>
      <c r="F3" s="10">
        <f t="shared" ref="F3:F16" si="2">E3/2</f>
        <v>44.65</v>
      </c>
      <c r="G3" s="10">
        <f t="shared" si="1"/>
        <v>14.883333333333333</v>
      </c>
    </row>
    <row r="4" spans="1:7" ht="25.5" x14ac:dyDescent="0.2">
      <c r="A4" s="11" t="s">
        <v>11</v>
      </c>
      <c r="B4" s="13">
        <v>30</v>
      </c>
      <c r="C4" s="14">
        <v>30</v>
      </c>
      <c r="D4" s="1">
        <v>30</v>
      </c>
      <c r="E4" s="10">
        <f t="shared" si="0"/>
        <v>90</v>
      </c>
      <c r="F4" s="10">
        <f t="shared" si="2"/>
        <v>45</v>
      </c>
      <c r="G4" s="10">
        <f t="shared" si="1"/>
        <v>15</v>
      </c>
    </row>
    <row r="5" spans="1:7" ht="25.5" x14ac:dyDescent="0.2">
      <c r="A5" s="11" t="s">
        <v>20</v>
      </c>
      <c r="B5" s="13">
        <v>29.6</v>
      </c>
      <c r="C5" s="14">
        <v>29.9</v>
      </c>
      <c r="D5" s="1">
        <v>29.9</v>
      </c>
      <c r="E5" s="10">
        <f t="shared" si="0"/>
        <v>89.4</v>
      </c>
      <c r="F5" s="10">
        <f t="shared" si="2"/>
        <v>44.7</v>
      </c>
      <c r="G5" s="10">
        <f t="shared" si="1"/>
        <v>14.9</v>
      </c>
    </row>
    <row r="6" spans="1:7" ht="38.25" x14ac:dyDescent="0.2">
      <c r="A6" s="11" t="s">
        <v>25</v>
      </c>
      <c r="B6" s="13">
        <v>29.4</v>
      </c>
      <c r="C6" s="14">
        <v>29.7</v>
      </c>
      <c r="D6" s="1">
        <v>29.9</v>
      </c>
      <c r="E6" s="10">
        <f t="shared" si="0"/>
        <v>89</v>
      </c>
      <c r="F6" s="10">
        <f t="shared" si="2"/>
        <v>44.5</v>
      </c>
      <c r="G6" s="10">
        <f t="shared" si="1"/>
        <v>14.833333333333334</v>
      </c>
    </row>
    <row r="7" spans="1:7" ht="38.25" x14ac:dyDescent="0.2">
      <c r="A7" s="11" t="s">
        <v>24</v>
      </c>
      <c r="B7" s="13">
        <v>29.5</v>
      </c>
      <c r="C7" s="14">
        <v>29.7</v>
      </c>
      <c r="D7" s="1">
        <v>29.7</v>
      </c>
      <c r="E7" s="10">
        <f t="shared" si="0"/>
        <v>88.9</v>
      </c>
      <c r="F7" s="10">
        <f t="shared" si="2"/>
        <v>44.45</v>
      </c>
      <c r="G7" s="10">
        <f t="shared" si="1"/>
        <v>14.816666666666668</v>
      </c>
    </row>
    <row r="8" spans="1:7" ht="38.25" x14ac:dyDescent="0.2">
      <c r="A8" s="11" t="s">
        <v>12</v>
      </c>
      <c r="B8" s="13">
        <v>30</v>
      </c>
      <c r="C8" s="14">
        <v>29.8</v>
      </c>
      <c r="D8" s="1">
        <v>30</v>
      </c>
      <c r="E8" s="10">
        <f t="shared" si="0"/>
        <v>89.8</v>
      </c>
      <c r="F8" s="10">
        <f t="shared" si="2"/>
        <v>44.9</v>
      </c>
      <c r="G8" s="10">
        <f t="shared" si="1"/>
        <v>14.966666666666667</v>
      </c>
    </row>
    <row r="9" spans="1:7" ht="38.25" x14ac:dyDescent="0.2">
      <c r="A9" s="11" t="s">
        <v>15</v>
      </c>
      <c r="B9" s="13">
        <v>30</v>
      </c>
      <c r="C9" s="14">
        <v>29.9</v>
      </c>
      <c r="D9" s="1">
        <v>30</v>
      </c>
      <c r="E9" s="10">
        <f t="shared" si="0"/>
        <v>89.9</v>
      </c>
      <c r="F9" s="10">
        <f t="shared" si="2"/>
        <v>44.95</v>
      </c>
      <c r="G9" s="10">
        <f t="shared" si="1"/>
        <v>14.983333333333334</v>
      </c>
    </row>
    <row r="10" spans="1:7" ht="25.5" x14ac:dyDescent="0.2">
      <c r="A10" s="11" t="s">
        <v>13</v>
      </c>
      <c r="B10" s="13">
        <v>29.9</v>
      </c>
      <c r="C10" s="15">
        <v>30</v>
      </c>
      <c r="D10" s="1">
        <v>30</v>
      </c>
      <c r="E10" s="10">
        <f t="shared" si="0"/>
        <v>89.9</v>
      </c>
      <c r="F10" s="10">
        <f t="shared" si="2"/>
        <v>44.95</v>
      </c>
      <c r="G10" s="10">
        <f t="shared" si="1"/>
        <v>14.983333333333334</v>
      </c>
    </row>
    <row r="11" spans="1:7" ht="25.5" x14ac:dyDescent="0.2">
      <c r="A11" s="11" t="s">
        <v>14</v>
      </c>
      <c r="B11" s="13">
        <v>29.9</v>
      </c>
      <c r="C11" s="14">
        <v>29.9</v>
      </c>
      <c r="D11" s="1">
        <v>29.9</v>
      </c>
      <c r="E11" s="10">
        <f t="shared" si="0"/>
        <v>89.699999999999989</v>
      </c>
      <c r="F11" s="10">
        <f t="shared" si="2"/>
        <v>44.849999999999994</v>
      </c>
      <c r="G11" s="10">
        <f t="shared" si="1"/>
        <v>14.949999999999998</v>
      </c>
    </row>
    <row r="12" spans="1:7" ht="25.5" x14ac:dyDescent="0.2">
      <c r="A12" s="11" t="s">
        <v>17</v>
      </c>
      <c r="B12" s="13">
        <v>29.7</v>
      </c>
      <c r="C12" s="15">
        <v>29.9</v>
      </c>
      <c r="D12" s="1">
        <v>30</v>
      </c>
      <c r="E12" s="10">
        <f t="shared" si="0"/>
        <v>89.6</v>
      </c>
      <c r="F12" s="10">
        <f t="shared" si="2"/>
        <v>44.8</v>
      </c>
      <c r="G12" s="10">
        <f t="shared" si="1"/>
        <v>14.933333333333332</v>
      </c>
    </row>
    <row r="13" spans="1:7" ht="25.5" x14ac:dyDescent="0.2">
      <c r="A13" s="11" t="s">
        <v>19</v>
      </c>
      <c r="B13" s="13">
        <v>29.8</v>
      </c>
      <c r="C13" s="14">
        <v>29.9</v>
      </c>
      <c r="D13" s="1">
        <v>30</v>
      </c>
      <c r="E13" s="10">
        <f t="shared" si="0"/>
        <v>89.7</v>
      </c>
      <c r="F13" s="10">
        <f t="shared" si="2"/>
        <v>44.85</v>
      </c>
      <c r="G13" s="10">
        <f t="shared" si="1"/>
        <v>14.950000000000001</v>
      </c>
    </row>
    <row r="14" spans="1:7" ht="51" x14ac:dyDescent="0.2">
      <c r="A14" s="11" t="s">
        <v>21</v>
      </c>
      <c r="B14" s="13">
        <v>29.4</v>
      </c>
      <c r="C14" s="14">
        <v>29.9</v>
      </c>
      <c r="D14" s="1">
        <v>30</v>
      </c>
      <c r="E14" s="10">
        <f t="shared" si="0"/>
        <v>89.3</v>
      </c>
      <c r="F14" s="10">
        <f t="shared" si="2"/>
        <v>44.65</v>
      </c>
      <c r="G14" s="10">
        <f t="shared" si="1"/>
        <v>14.883333333333333</v>
      </c>
    </row>
    <row r="15" spans="1:7" ht="25.5" x14ac:dyDescent="0.2">
      <c r="A15" s="11" t="s">
        <v>22</v>
      </c>
      <c r="B15" s="13">
        <v>29.6</v>
      </c>
      <c r="C15" s="14">
        <v>29.9</v>
      </c>
      <c r="D15" s="1">
        <v>29.8</v>
      </c>
      <c r="E15" s="10">
        <f t="shared" si="0"/>
        <v>89.3</v>
      </c>
      <c r="F15" s="10">
        <f t="shared" si="2"/>
        <v>44.65</v>
      </c>
      <c r="G15" s="10">
        <f t="shared" si="1"/>
        <v>14.883333333333333</v>
      </c>
    </row>
    <row r="16" spans="1:7" ht="25.5" x14ac:dyDescent="0.2">
      <c r="A16" s="11" t="s">
        <v>23</v>
      </c>
      <c r="B16" s="13">
        <v>29.3</v>
      </c>
      <c r="C16" s="14">
        <v>29.5</v>
      </c>
      <c r="D16" s="1">
        <v>29.7</v>
      </c>
      <c r="E16" s="10">
        <f t="shared" si="0"/>
        <v>88.5</v>
      </c>
      <c r="F16" s="10">
        <f t="shared" si="2"/>
        <v>44.25</v>
      </c>
      <c r="G16" s="10">
        <f t="shared" si="1"/>
        <v>14.75</v>
      </c>
    </row>
  </sheetData>
  <sortState xmlns:xlrd2="http://schemas.microsoft.com/office/spreadsheetml/2017/richdata2" ref="A2:B16">
    <sortCondition ref="A16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258B-34BA-4515-84FD-23FAFCFF517B}">
  <dimension ref="A1:G16"/>
  <sheetViews>
    <sheetView workbookViewId="0">
      <selection activeCell="D17" sqref="D17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8" t="s">
        <v>9</v>
      </c>
      <c r="B1" s="8" t="s">
        <v>5</v>
      </c>
      <c r="C1" s="8" t="s">
        <v>6</v>
      </c>
      <c r="D1" s="8" t="s">
        <v>7</v>
      </c>
      <c r="E1" s="9" t="s">
        <v>10</v>
      </c>
      <c r="F1" s="7"/>
      <c r="G1" s="9" t="s">
        <v>8</v>
      </c>
    </row>
    <row r="2" spans="1:7" ht="25.5" x14ac:dyDescent="0.2">
      <c r="A2" s="11" t="s">
        <v>16</v>
      </c>
      <c r="B2" s="13">
        <v>29.6</v>
      </c>
      <c r="C2" s="14">
        <v>29.8</v>
      </c>
      <c r="D2" s="1">
        <v>29.9</v>
      </c>
      <c r="E2" s="10">
        <f t="shared" ref="E2:E16" si="0">SUM(B2:D2)</f>
        <v>89.300000000000011</v>
      </c>
      <c r="F2" s="10">
        <f>E2/2</f>
        <v>44.650000000000006</v>
      </c>
      <c r="G2" s="10">
        <f t="shared" ref="G2:G16" si="1">F2/3</f>
        <v>14.883333333333335</v>
      </c>
    </row>
    <row r="3" spans="1:7" ht="51" x14ac:dyDescent="0.2">
      <c r="A3" s="11" t="s">
        <v>18</v>
      </c>
      <c r="B3" s="13">
        <v>29.8</v>
      </c>
      <c r="C3" s="14">
        <v>29.2</v>
      </c>
      <c r="D3" s="1">
        <v>29.9</v>
      </c>
      <c r="E3" s="10">
        <f t="shared" si="0"/>
        <v>88.9</v>
      </c>
      <c r="F3" s="10">
        <f t="shared" ref="F3:F16" si="2">E3/2</f>
        <v>44.45</v>
      </c>
      <c r="G3" s="10">
        <f t="shared" si="1"/>
        <v>14.816666666666668</v>
      </c>
    </row>
    <row r="4" spans="1:7" ht="25.5" x14ac:dyDescent="0.2">
      <c r="A4" s="11" t="s">
        <v>11</v>
      </c>
      <c r="B4" s="13">
        <v>30</v>
      </c>
      <c r="C4" s="14">
        <v>29.9</v>
      </c>
      <c r="D4" s="1">
        <v>30</v>
      </c>
      <c r="E4" s="10">
        <f t="shared" si="0"/>
        <v>89.9</v>
      </c>
      <c r="F4" s="10">
        <f t="shared" si="2"/>
        <v>44.95</v>
      </c>
      <c r="G4" s="10">
        <f t="shared" si="1"/>
        <v>14.983333333333334</v>
      </c>
    </row>
    <row r="5" spans="1:7" ht="25.5" x14ac:dyDescent="0.2">
      <c r="A5" s="11" t="s">
        <v>20</v>
      </c>
      <c r="B5" s="13">
        <v>29.9</v>
      </c>
      <c r="C5" s="14">
        <v>29.7</v>
      </c>
      <c r="D5" s="1">
        <v>29.9</v>
      </c>
      <c r="E5" s="10">
        <f t="shared" si="0"/>
        <v>89.5</v>
      </c>
      <c r="F5" s="10">
        <f t="shared" si="2"/>
        <v>44.75</v>
      </c>
      <c r="G5" s="10">
        <f t="shared" si="1"/>
        <v>14.916666666666666</v>
      </c>
    </row>
    <row r="6" spans="1:7" ht="38.25" x14ac:dyDescent="0.2">
      <c r="A6" s="11" t="s">
        <v>25</v>
      </c>
      <c r="B6" s="13">
        <v>29.2</v>
      </c>
      <c r="C6" s="14">
        <v>29.4</v>
      </c>
      <c r="D6" s="1">
        <v>29.3</v>
      </c>
      <c r="E6" s="10">
        <f t="shared" si="0"/>
        <v>87.899999999999991</v>
      </c>
      <c r="F6" s="10">
        <f t="shared" si="2"/>
        <v>43.949999999999996</v>
      </c>
      <c r="G6" s="10">
        <f t="shared" si="1"/>
        <v>14.649999999999999</v>
      </c>
    </row>
    <row r="7" spans="1:7" ht="38.25" x14ac:dyDescent="0.2">
      <c r="A7" s="11" t="s">
        <v>24</v>
      </c>
      <c r="B7" s="13">
        <v>29.5</v>
      </c>
      <c r="C7" s="14">
        <v>29.3</v>
      </c>
      <c r="D7" s="1">
        <v>30</v>
      </c>
      <c r="E7" s="10">
        <f t="shared" si="0"/>
        <v>88.8</v>
      </c>
      <c r="F7" s="10">
        <f t="shared" si="2"/>
        <v>44.4</v>
      </c>
      <c r="G7" s="10">
        <f t="shared" si="1"/>
        <v>14.799999999999999</v>
      </c>
    </row>
    <row r="8" spans="1:7" ht="38.25" x14ac:dyDescent="0.2">
      <c r="A8" s="11" t="s">
        <v>12</v>
      </c>
      <c r="B8" s="13">
        <v>30</v>
      </c>
      <c r="C8" s="14">
        <v>29.9</v>
      </c>
      <c r="D8" s="1">
        <v>30</v>
      </c>
      <c r="E8" s="10">
        <f t="shared" si="0"/>
        <v>89.9</v>
      </c>
      <c r="F8" s="10">
        <f t="shared" si="2"/>
        <v>44.95</v>
      </c>
      <c r="G8" s="10">
        <f t="shared" si="1"/>
        <v>14.983333333333334</v>
      </c>
    </row>
    <row r="9" spans="1:7" ht="38.25" x14ac:dyDescent="0.2">
      <c r="A9" s="11" t="s">
        <v>15</v>
      </c>
      <c r="B9" s="13">
        <v>29.8</v>
      </c>
      <c r="C9" s="14">
        <v>29.9</v>
      </c>
      <c r="D9" s="1">
        <v>29.9</v>
      </c>
      <c r="E9" s="10">
        <f t="shared" si="0"/>
        <v>89.6</v>
      </c>
      <c r="F9" s="10">
        <f t="shared" si="2"/>
        <v>44.8</v>
      </c>
      <c r="G9" s="10">
        <f t="shared" si="1"/>
        <v>14.933333333333332</v>
      </c>
    </row>
    <row r="10" spans="1:7" ht="25.5" x14ac:dyDescent="0.2">
      <c r="A10" s="11" t="s">
        <v>13</v>
      </c>
      <c r="B10" s="13">
        <v>29.9</v>
      </c>
      <c r="C10" s="15">
        <v>29.8</v>
      </c>
      <c r="D10" s="1">
        <v>29.7</v>
      </c>
      <c r="E10" s="10">
        <f t="shared" si="0"/>
        <v>89.4</v>
      </c>
      <c r="F10" s="10">
        <f t="shared" si="2"/>
        <v>44.7</v>
      </c>
      <c r="G10" s="10">
        <f t="shared" si="1"/>
        <v>14.9</v>
      </c>
    </row>
    <row r="11" spans="1:7" ht="25.5" x14ac:dyDescent="0.2">
      <c r="A11" s="11" t="s">
        <v>14</v>
      </c>
      <c r="B11" s="13">
        <v>29.9</v>
      </c>
      <c r="C11" s="14">
        <v>29.5</v>
      </c>
      <c r="D11" s="1">
        <v>29.6</v>
      </c>
      <c r="E11" s="10">
        <f t="shared" si="0"/>
        <v>89</v>
      </c>
      <c r="F11" s="10">
        <f t="shared" si="2"/>
        <v>44.5</v>
      </c>
      <c r="G11" s="10">
        <f t="shared" si="1"/>
        <v>14.833333333333334</v>
      </c>
    </row>
    <row r="12" spans="1:7" ht="25.5" x14ac:dyDescent="0.2">
      <c r="A12" s="11" t="s">
        <v>17</v>
      </c>
      <c r="B12" s="13">
        <v>29.7</v>
      </c>
      <c r="C12" s="15">
        <v>29.6</v>
      </c>
      <c r="D12" s="1">
        <v>29.4</v>
      </c>
      <c r="E12" s="10">
        <f t="shared" si="0"/>
        <v>88.699999999999989</v>
      </c>
      <c r="F12" s="10">
        <f t="shared" si="2"/>
        <v>44.349999999999994</v>
      </c>
      <c r="G12" s="10">
        <f t="shared" si="1"/>
        <v>14.783333333333331</v>
      </c>
    </row>
    <row r="13" spans="1:7" ht="25.5" x14ac:dyDescent="0.2">
      <c r="A13" s="11" t="s">
        <v>19</v>
      </c>
      <c r="B13" s="13">
        <v>29.4</v>
      </c>
      <c r="C13" s="14">
        <v>29.8</v>
      </c>
      <c r="D13" s="1">
        <v>29.6</v>
      </c>
      <c r="E13" s="10">
        <f t="shared" si="0"/>
        <v>88.800000000000011</v>
      </c>
      <c r="F13" s="10">
        <f t="shared" si="2"/>
        <v>44.400000000000006</v>
      </c>
      <c r="G13" s="10">
        <f t="shared" si="1"/>
        <v>14.800000000000002</v>
      </c>
    </row>
    <row r="14" spans="1:7" ht="51" x14ac:dyDescent="0.2">
      <c r="A14" s="11" t="s">
        <v>21</v>
      </c>
      <c r="B14" s="13">
        <v>29.4</v>
      </c>
      <c r="C14" s="14">
        <v>29.5</v>
      </c>
      <c r="D14" s="1">
        <v>29.7</v>
      </c>
      <c r="E14" s="10">
        <f t="shared" si="0"/>
        <v>88.6</v>
      </c>
      <c r="F14" s="10">
        <f t="shared" si="2"/>
        <v>44.3</v>
      </c>
      <c r="G14" s="10">
        <f t="shared" si="1"/>
        <v>14.766666666666666</v>
      </c>
    </row>
    <row r="15" spans="1:7" ht="25.5" x14ac:dyDescent="0.2">
      <c r="A15" s="11" t="s">
        <v>22</v>
      </c>
      <c r="B15" s="13">
        <v>29.4</v>
      </c>
      <c r="C15" s="14">
        <v>29.1</v>
      </c>
      <c r="D15" s="1">
        <v>29.7</v>
      </c>
      <c r="E15" s="10">
        <f t="shared" si="0"/>
        <v>88.2</v>
      </c>
      <c r="F15" s="10">
        <f t="shared" si="2"/>
        <v>44.1</v>
      </c>
      <c r="G15" s="10">
        <f t="shared" si="1"/>
        <v>14.700000000000001</v>
      </c>
    </row>
    <row r="16" spans="1:7" ht="25.5" x14ac:dyDescent="0.2">
      <c r="A16" s="11" t="s">
        <v>23</v>
      </c>
      <c r="B16" s="13">
        <v>29.4</v>
      </c>
      <c r="C16" s="14">
        <v>29.5</v>
      </c>
      <c r="D16" s="1">
        <v>29.8</v>
      </c>
      <c r="E16" s="10">
        <f t="shared" si="0"/>
        <v>88.7</v>
      </c>
      <c r="F16" s="10">
        <f t="shared" si="2"/>
        <v>44.35</v>
      </c>
      <c r="G16" s="10">
        <f t="shared" si="1"/>
        <v>14.783333333333333</v>
      </c>
    </row>
  </sheetData>
  <sortState xmlns:xlrd2="http://schemas.microsoft.com/office/spreadsheetml/2017/richdata2" ref="A2:B16">
    <sortCondition ref="A16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2A9D-024B-4174-B2E0-4B3D884DBC47}">
  <dimension ref="A1:G16"/>
  <sheetViews>
    <sheetView workbookViewId="0">
      <selection activeCell="D17" sqref="D17"/>
    </sheetView>
  </sheetViews>
  <sheetFormatPr defaultRowHeight="12.75" x14ac:dyDescent="0.2"/>
  <cols>
    <col min="1" max="2" width="9.6640625" bestFit="1" customWidth="1"/>
    <col min="7" max="7" width="14.1640625" bestFit="1" customWidth="1"/>
  </cols>
  <sheetData>
    <row r="1" spans="1:7" x14ac:dyDescent="0.2">
      <c r="A1" s="8" t="s">
        <v>9</v>
      </c>
      <c r="B1" s="8" t="s">
        <v>5</v>
      </c>
      <c r="C1" s="8" t="s">
        <v>6</v>
      </c>
      <c r="D1" s="8" t="s">
        <v>7</v>
      </c>
      <c r="E1" s="9" t="s">
        <v>10</v>
      </c>
      <c r="F1" s="7"/>
      <c r="G1" s="9" t="s">
        <v>8</v>
      </c>
    </row>
    <row r="2" spans="1:7" ht="25.5" x14ac:dyDescent="0.2">
      <c r="A2" s="11" t="s">
        <v>16</v>
      </c>
      <c r="B2" s="13">
        <v>30</v>
      </c>
      <c r="C2" s="14">
        <v>30</v>
      </c>
      <c r="D2" s="1">
        <v>29.9</v>
      </c>
      <c r="E2" s="10">
        <f t="shared" ref="E2:E16" si="0">SUM(B2:D2)</f>
        <v>89.9</v>
      </c>
      <c r="F2" s="10">
        <f>E2/3</f>
        <v>29.966666666666669</v>
      </c>
      <c r="G2" s="10">
        <f t="shared" ref="G2:G16" si="1">F2/3</f>
        <v>9.9888888888888889</v>
      </c>
    </row>
    <row r="3" spans="1:7" ht="51" x14ac:dyDescent="0.2">
      <c r="A3" s="11" t="s">
        <v>18</v>
      </c>
      <c r="B3" s="13">
        <v>30</v>
      </c>
      <c r="C3" s="14">
        <v>29.8</v>
      </c>
      <c r="D3" s="1">
        <v>30</v>
      </c>
      <c r="E3" s="10">
        <f t="shared" si="0"/>
        <v>89.8</v>
      </c>
      <c r="F3" s="10">
        <f t="shared" ref="F3:F16" si="2">E3/3</f>
        <v>29.933333333333334</v>
      </c>
      <c r="G3" s="10">
        <f t="shared" si="1"/>
        <v>9.9777777777777779</v>
      </c>
    </row>
    <row r="4" spans="1:7" ht="25.5" x14ac:dyDescent="0.2">
      <c r="A4" s="11" t="s">
        <v>11</v>
      </c>
      <c r="B4" s="13">
        <v>30</v>
      </c>
      <c r="C4" s="14">
        <v>30</v>
      </c>
      <c r="D4" s="1">
        <v>30</v>
      </c>
      <c r="E4" s="10">
        <f t="shared" si="0"/>
        <v>90</v>
      </c>
      <c r="F4" s="10">
        <f t="shared" si="2"/>
        <v>30</v>
      </c>
      <c r="G4" s="10">
        <f t="shared" si="1"/>
        <v>10</v>
      </c>
    </row>
    <row r="5" spans="1:7" ht="25.5" x14ac:dyDescent="0.2">
      <c r="A5" s="11" t="s">
        <v>20</v>
      </c>
      <c r="B5" s="13">
        <v>30</v>
      </c>
      <c r="C5" s="14">
        <v>30</v>
      </c>
      <c r="D5" s="1">
        <v>29.9</v>
      </c>
      <c r="E5" s="10">
        <f t="shared" si="0"/>
        <v>89.9</v>
      </c>
      <c r="F5" s="10">
        <f t="shared" si="2"/>
        <v>29.966666666666669</v>
      </c>
      <c r="G5" s="10">
        <f t="shared" si="1"/>
        <v>9.9888888888888889</v>
      </c>
    </row>
    <row r="6" spans="1:7" ht="38.25" x14ac:dyDescent="0.2">
      <c r="A6" s="11" t="s">
        <v>25</v>
      </c>
      <c r="B6" s="13">
        <v>29.6</v>
      </c>
      <c r="C6" s="14">
        <v>29.9</v>
      </c>
      <c r="D6" s="1">
        <v>29.7</v>
      </c>
      <c r="E6" s="10">
        <f t="shared" si="0"/>
        <v>89.2</v>
      </c>
      <c r="F6" s="10">
        <f t="shared" si="2"/>
        <v>29.733333333333334</v>
      </c>
      <c r="G6" s="10">
        <f t="shared" si="1"/>
        <v>9.9111111111111114</v>
      </c>
    </row>
    <row r="7" spans="1:7" ht="38.25" x14ac:dyDescent="0.2">
      <c r="A7" s="11" t="s">
        <v>24</v>
      </c>
      <c r="B7" s="13">
        <v>28.8</v>
      </c>
      <c r="C7" s="14">
        <v>30</v>
      </c>
      <c r="D7" s="1">
        <v>30</v>
      </c>
      <c r="E7" s="10">
        <f t="shared" si="0"/>
        <v>88.8</v>
      </c>
      <c r="F7" s="10">
        <f t="shared" si="2"/>
        <v>29.599999999999998</v>
      </c>
      <c r="G7" s="10">
        <f t="shared" si="1"/>
        <v>9.8666666666666654</v>
      </c>
    </row>
    <row r="8" spans="1:7" ht="38.25" x14ac:dyDescent="0.2">
      <c r="A8" s="11" t="s">
        <v>12</v>
      </c>
      <c r="B8" s="13">
        <v>30</v>
      </c>
      <c r="C8" s="14">
        <v>30</v>
      </c>
      <c r="D8" s="1">
        <v>30</v>
      </c>
      <c r="E8" s="10">
        <f t="shared" si="0"/>
        <v>90</v>
      </c>
      <c r="F8" s="10">
        <f t="shared" si="2"/>
        <v>30</v>
      </c>
      <c r="G8" s="10">
        <f t="shared" si="1"/>
        <v>10</v>
      </c>
    </row>
    <row r="9" spans="1:7" ht="38.25" x14ac:dyDescent="0.2">
      <c r="A9" s="11" t="s">
        <v>15</v>
      </c>
      <c r="B9" s="13">
        <v>30</v>
      </c>
      <c r="C9" s="14">
        <v>30</v>
      </c>
      <c r="D9" s="1">
        <v>30</v>
      </c>
      <c r="E9" s="10">
        <f t="shared" si="0"/>
        <v>90</v>
      </c>
      <c r="F9" s="10">
        <f t="shared" si="2"/>
        <v>30</v>
      </c>
      <c r="G9" s="10">
        <f t="shared" si="1"/>
        <v>10</v>
      </c>
    </row>
    <row r="10" spans="1:7" ht="25.5" x14ac:dyDescent="0.2">
      <c r="A10" s="11" t="s">
        <v>13</v>
      </c>
      <c r="B10" s="13">
        <v>30</v>
      </c>
      <c r="C10" s="15">
        <v>30</v>
      </c>
      <c r="D10" s="1">
        <v>30</v>
      </c>
      <c r="E10" s="10">
        <f t="shared" si="0"/>
        <v>90</v>
      </c>
      <c r="F10" s="10">
        <f t="shared" si="2"/>
        <v>30</v>
      </c>
      <c r="G10" s="10">
        <f t="shared" si="1"/>
        <v>10</v>
      </c>
    </row>
    <row r="11" spans="1:7" ht="25.5" x14ac:dyDescent="0.2">
      <c r="A11" s="11" t="s">
        <v>14</v>
      </c>
      <c r="B11" s="13">
        <v>30</v>
      </c>
      <c r="C11" s="14">
        <v>29.9</v>
      </c>
      <c r="D11" s="1">
        <v>29.9</v>
      </c>
      <c r="E11" s="10">
        <f t="shared" si="0"/>
        <v>89.8</v>
      </c>
      <c r="F11" s="10">
        <f t="shared" si="2"/>
        <v>29.933333333333334</v>
      </c>
      <c r="G11" s="10">
        <f t="shared" si="1"/>
        <v>9.9777777777777779</v>
      </c>
    </row>
    <row r="12" spans="1:7" ht="25.5" x14ac:dyDescent="0.2">
      <c r="A12" s="11" t="s">
        <v>17</v>
      </c>
      <c r="B12" s="13">
        <v>29.7</v>
      </c>
      <c r="C12" s="15">
        <v>30</v>
      </c>
      <c r="D12" s="1">
        <v>30</v>
      </c>
      <c r="E12" s="10">
        <f t="shared" si="0"/>
        <v>89.7</v>
      </c>
      <c r="F12" s="10">
        <f t="shared" si="2"/>
        <v>29.900000000000002</v>
      </c>
      <c r="G12" s="10">
        <f t="shared" si="1"/>
        <v>9.9666666666666668</v>
      </c>
    </row>
    <row r="13" spans="1:7" ht="25.5" x14ac:dyDescent="0.2">
      <c r="A13" s="11" t="s">
        <v>19</v>
      </c>
      <c r="B13" s="13">
        <v>29.8</v>
      </c>
      <c r="C13" s="14">
        <v>30</v>
      </c>
      <c r="D13" s="1">
        <v>30</v>
      </c>
      <c r="E13" s="10">
        <f t="shared" si="0"/>
        <v>89.8</v>
      </c>
      <c r="F13" s="10">
        <f t="shared" si="2"/>
        <v>29.933333333333334</v>
      </c>
      <c r="G13" s="10">
        <f t="shared" si="1"/>
        <v>9.9777777777777779</v>
      </c>
    </row>
    <row r="14" spans="1:7" ht="51" x14ac:dyDescent="0.2">
      <c r="A14" s="11" t="s">
        <v>21</v>
      </c>
      <c r="B14" s="13">
        <v>30</v>
      </c>
      <c r="C14" s="14">
        <v>30</v>
      </c>
      <c r="D14" s="1">
        <v>30</v>
      </c>
      <c r="E14" s="10">
        <f t="shared" si="0"/>
        <v>90</v>
      </c>
      <c r="F14" s="10">
        <f t="shared" si="2"/>
        <v>30</v>
      </c>
      <c r="G14" s="10">
        <f t="shared" si="1"/>
        <v>10</v>
      </c>
    </row>
    <row r="15" spans="1:7" ht="25.5" x14ac:dyDescent="0.2">
      <c r="A15" s="11" t="s">
        <v>22</v>
      </c>
      <c r="B15" s="13">
        <v>30</v>
      </c>
      <c r="C15" s="14">
        <v>29.6</v>
      </c>
      <c r="D15" s="1">
        <v>29.9</v>
      </c>
      <c r="E15" s="10">
        <f t="shared" si="0"/>
        <v>89.5</v>
      </c>
      <c r="F15" s="10">
        <f t="shared" si="2"/>
        <v>29.833333333333332</v>
      </c>
      <c r="G15" s="10">
        <f t="shared" si="1"/>
        <v>9.9444444444444446</v>
      </c>
    </row>
    <row r="16" spans="1:7" ht="25.5" x14ac:dyDescent="0.2">
      <c r="A16" s="11" t="s">
        <v>23</v>
      </c>
      <c r="B16" s="13">
        <v>30</v>
      </c>
      <c r="C16" s="14">
        <v>29.7</v>
      </c>
      <c r="D16" s="1">
        <v>30</v>
      </c>
      <c r="E16" s="10">
        <f t="shared" si="0"/>
        <v>89.7</v>
      </c>
      <c r="F16" s="10">
        <f t="shared" si="2"/>
        <v>29.900000000000002</v>
      </c>
      <c r="G16" s="10">
        <f t="shared" si="1"/>
        <v>9.9666666666666668</v>
      </c>
    </row>
  </sheetData>
  <sortState xmlns:xlrd2="http://schemas.microsoft.com/office/spreadsheetml/2017/richdata2" ref="A2:B16">
    <sortCondition ref="A2:A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Tiago</cp:lastModifiedBy>
  <dcterms:created xsi:type="dcterms:W3CDTF">2026-03-12T22:02:07Z</dcterms:created>
  <dcterms:modified xsi:type="dcterms:W3CDTF">2026-07-01T21:13:17Z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2015-07-07T00:00:00Z</vt:filetime>
  </property>
  <property fmtid="{D5CDD505-2E9C-101B-9397-08002B2CF9AE}" pid="3" name="Creator">
    <vt:lpwstr>Calc</vt:lpwstr>
  </property>
  <property fmtid="{D5CDD505-2E9C-101B-9397-08002B2CF9AE}" pid="4" name="Producer">
    <vt:lpwstr>LibreOffice 25.2.3.2 (AARCH64) / LibreOffice Community</vt:lpwstr>
  </property>
  <property fmtid="{D5CDD505-2E9C-101B-9397-08002B2CF9AE}" pid="5" name="LastSaved">
    <vt:filetime>2015-07-07T00:00:00Z</vt:filetime>
  </property>
</Properties>
</file>
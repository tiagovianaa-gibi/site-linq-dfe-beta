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site-linq-dfe-beta\dashboard\assets\notas\"/>
    </mc:Choice>
  </mc:AlternateContent>
  <xr:revisionPtr revIDLastSave="0" documentId="13_ncr:1_{3EB6248B-D89F-42CE-B1CA-1167FD32F2A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OTAL" sheetId="2" r:id="rId1"/>
    <sheet name="COREOGRAFIA" sheetId="4" r:id="rId2"/>
    <sheet name="MARCAÇÃO" sheetId="6" r:id="rId3"/>
    <sheet name="ANIMAÇÃO" sheetId="8" r:id="rId4"/>
    <sheet name="FIGURINO" sheetId="10" r:id="rId5"/>
    <sheet name="CASAL DE NOIVOS" sheetId="12" r:id="rId6"/>
    <sheet name="TRILHA SONORA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4" l="1"/>
  <c r="F4" i="14"/>
  <c r="F5" i="14"/>
  <c r="F6" i="14"/>
  <c r="G6" i="14" s="1"/>
  <c r="H6" i="14" s="1"/>
  <c r="F7" i="14"/>
  <c r="G7" i="14" s="1"/>
  <c r="H7" i="14" s="1"/>
  <c r="F8" i="14"/>
  <c r="F9" i="14"/>
  <c r="F10" i="14"/>
  <c r="G10" i="14" s="1"/>
  <c r="H10" i="14" s="1"/>
  <c r="F11" i="14"/>
  <c r="F12" i="14"/>
  <c r="F13" i="14"/>
  <c r="F14" i="14"/>
  <c r="G14" i="14" s="1"/>
  <c r="H14" i="14" s="1"/>
  <c r="F15" i="14"/>
  <c r="G15" i="14" s="1"/>
  <c r="H15" i="14" s="1"/>
  <c r="F16" i="14"/>
  <c r="F2" i="14"/>
  <c r="G16" i="14"/>
  <c r="H16" i="14" s="1"/>
  <c r="G13" i="14"/>
  <c r="H13" i="14" s="1"/>
  <c r="G12" i="14"/>
  <c r="H12" i="14" s="1"/>
  <c r="G11" i="14"/>
  <c r="H11" i="14" s="1"/>
  <c r="G9" i="14"/>
  <c r="H9" i="14" s="1"/>
  <c r="G8" i="14"/>
  <c r="H8" i="14" s="1"/>
  <c r="G5" i="14"/>
  <c r="H5" i="14" s="1"/>
  <c r="G4" i="14"/>
  <c r="H4" i="14" s="1"/>
  <c r="G3" i="14"/>
  <c r="H3" i="14" s="1"/>
  <c r="G2" i="14"/>
  <c r="H2" i="14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H6" i="12" s="1"/>
  <c r="G5" i="12"/>
  <c r="H5" i="12" s="1"/>
  <c r="G4" i="12"/>
  <c r="H4" i="12" s="1"/>
  <c r="G3" i="12"/>
  <c r="H3" i="12" s="1"/>
  <c r="G2" i="12"/>
  <c r="H2" i="12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G3" i="10"/>
  <c r="H3" i="10" s="1"/>
  <c r="G2" i="10"/>
  <c r="H2" i="10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6" i="8"/>
  <c r="H6" i="8" s="1"/>
  <c r="G5" i="8"/>
  <c r="H5" i="8" s="1"/>
  <c r="G4" i="8"/>
  <c r="H4" i="8" s="1"/>
  <c r="G3" i="8"/>
  <c r="H3" i="8" s="1"/>
  <c r="G2" i="8"/>
  <c r="H2" i="8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2" i="6"/>
  <c r="H2" i="6" s="1"/>
  <c r="H4" i="4"/>
  <c r="H6" i="4"/>
  <c r="H7" i="4"/>
  <c r="H9" i="4"/>
  <c r="H12" i="4"/>
  <c r="H14" i="4"/>
  <c r="H15" i="4"/>
  <c r="H2" i="4"/>
  <c r="G3" i="4"/>
  <c r="H3" i="4" s="1"/>
  <c r="G4" i="4"/>
  <c r="G5" i="4"/>
  <c r="H5" i="4" s="1"/>
  <c r="G6" i="4"/>
  <c r="G7" i="4"/>
  <c r="G8" i="4"/>
  <c r="H8" i="4" s="1"/>
  <c r="G9" i="4"/>
  <c r="G10" i="4"/>
  <c r="H10" i="4" s="1"/>
  <c r="G11" i="4"/>
  <c r="H11" i="4" s="1"/>
  <c r="G12" i="4"/>
  <c r="G13" i="4"/>
  <c r="H13" i="4" s="1"/>
  <c r="G14" i="4"/>
  <c r="G15" i="4"/>
  <c r="G16" i="4"/>
  <c r="H16" i="4" s="1"/>
  <c r="G2" i="4"/>
  <c r="G2" i="2"/>
  <c r="H2" i="2" s="1"/>
  <c r="G10" i="2"/>
  <c r="H10" i="2" s="1"/>
  <c r="I10" i="2" s="1"/>
  <c r="G3" i="2"/>
  <c r="H3" i="2" s="1"/>
  <c r="I3" i="2" s="1"/>
  <c r="G4" i="2"/>
  <c r="H4" i="2" s="1"/>
  <c r="I4" i="2" s="1"/>
  <c r="G5" i="2"/>
  <c r="H5" i="2" s="1"/>
  <c r="I5" i="2" s="1"/>
  <c r="G6" i="2"/>
  <c r="H6" i="2" s="1"/>
  <c r="I6" i="2" s="1"/>
  <c r="G7" i="2"/>
  <c r="H7" i="2" s="1"/>
  <c r="I7" i="2" s="1"/>
  <c r="G8" i="2"/>
  <c r="H8" i="2" s="1"/>
  <c r="I8" i="2" s="1"/>
  <c r="G9" i="2"/>
  <c r="H9" i="2" s="1"/>
  <c r="I9" i="2" s="1"/>
  <c r="G11" i="2"/>
  <c r="H11" i="2" s="1"/>
  <c r="I11" i="2" s="1"/>
  <c r="G12" i="2"/>
  <c r="H12" i="2" s="1"/>
  <c r="I12" i="2" s="1"/>
  <c r="G13" i="2"/>
  <c r="H13" i="2" s="1"/>
  <c r="I13" i="2" s="1"/>
  <c r="G14" i="2"/>
  <c r="H14" i="2" s="1"/>
  <c r="I14" i="2" s="1"/>
  <c r="G15" i="2"/>
  <c r="H15" i="2" s="1"/>
  <c r="I15" i="2" s="1"/>
  <c r="G16" i="2"/>
  <c r="H16" i="2" s="1"/>
  <c r="I16" i="2" s="1"/>
  <c r="I2" i="2" l="1"/>
</calcChain>
</file>

<file path=xl/sharedStrings.xml><?xml version="1.0" encoding="utf-8"?>
<sst xmlns="http://schemas.openxmlformats.org/spreadsheetml/2006/main" count="141" uniqueCount="46">
  <si>
    <r>
      <rPr>
        <b/>
        <sz val="8"/>
        <rFont val="Calibri"/>
        <family val="1"/>
      </rPr>
      <t>QUADRILHA</t>
    </r>
  </si>
  <si>
    <r>
      <rPr>
        <b/>
        <sz val="8"/>
        <rFont val="Calibri"/>
        <family val="1"/>
      </rPr>
      <t>1ª ETAPA</t>
    </r>
  </si>
  <si>
    <r>
      <rPr>
        <b/>
        <sz val="8"/>
        <rFont val="Calibri"/>
        <family val="1"/>
      </rPr>
      <t>2ª ETAPA</t>
    </r>
  </si>
  <si>
    <r>
      <rPr>
        <b/>
        <sz val="8"/>
        <rFont val="Calibri"/>
        <family val="1"/>
      </rPr>
      <t>3ª ETAPA</t>
    </r>
  </si>
  <si>
    <r>
      <rPr>
        <b/>
        <sz val="8"/>
        <rFont val="Calibri"/>
        <family val="1"/>
      </rPr>
      <t>TOTAL</t>
    </r>
  </si>
  <si>
    <r>
      <rPr>
        <b/>
        <sz val="8"/>
        <rFont val="Calibri"/>
        <family val="1"/>
      </rPr>
      <t>FORMIGA DA ROÇA</t>
    </r>
  </si>
  <si>
    <r>
      <rPr>
        <b/>
        <sz val="8"/>
        <rFont val="Calibri"/>
        <family val="1"/>
      </rPr>
      <t>ARROXA O NÓ</t>
    </r>
  </si>
  <si>
    <r>
      <rPr>
        <b/>
        <sz val="8"/>
        <rFont val="Calibri"/>
        <family val="1"/>
      </rPr>
      <t>RIBULIÇO</t>
    </r>
  </si>
  <si>
    <r>
      <rPr>
        <sz val="8"/>
        <rFont val="Calibri"/>
        <family val="1"/>
      </rPr>
      <t>SANFONA LASCADA</t>
    </r>
  </si>
  <si>
    <r>
      <rPr>
        <sz val="8"/>
        <rFont val="Calibri"/>
        <family val="1"/>
      </rPr>
      <t>ARRAIÁ DOS MATUTOS</t>
    </r>
  </si>
  <si>
    <r>
      <rPr>
        <sz val="8"/>
        <rFont val="Calibri"/>
        <family val="1"/>
      </rPr>
      <t>RASGA O FOLE</t>
    </r>
  </si>
  <si>
    <r>
      <rPr>
        <sz val="8"/>
        <rFont val="Calibri"/>
        <family val="1"/>
      </rPr>
      <t>AMOR JUNINO</t>
    </r>
  </si>
  <si>
    <r>
      <rPr>
        <sz val="8"/>
        <rFont val="Calibri"/>
        <family val="1"/>
      </rPr>
      <t>EITA BAGACEIRA</t>
    </r>
  </si>
  <si>
    <r>
      <rPr>
        <sz val="8"/>
        <rFont val="Calibri"/>
        <family val="1"/>
      </rPr>
      <t>XAMEGAR</t>
    </r>
  </si>
  <si>
    <r>
      <rPr>
        <sz val="8"/>
        <rFont val="Calibri"/>
        <family val="1"/>
      </rPr>
      <t>COISAS DA ROÇA</t>
    </r>
  </si>
  <si>
    <r>
      <rPr>
        <sz val="8"/>
        <rFont val="Calibri"/>
        <family val="1"/>
      </rPr>
      <t>XEM NHEM NHEM</t>
    </r>
  </si>
  <si>
    <r>
      <rPr>
        <sz val="8"/>
        <rFont val="Calibri"/>
        <family val="1"/>
      </rPr>
      <t>PINGA EM MIM</t>
    </r>
  </si>
  <si>
    <r>
      <rPr>
        <sz val="8"/>
        <rFont val="Calibri"/>
        <family val="1"/>
      </rPr>
      <t>CHINELO DE COURO</t>
    </r>
  </si>
  <si>
    <r>
      <rPr>
        <sz val="8"/>
        <rFont val="Calibri"/>
        <family val="1"/>
      </rPr>
      <t>OS CABOCLOS DO SERTÃO</t>
    </r>
  </si>
  <si>
    <r>
      <rPr>
        <sz val="8"/>
        <rFont val="Calibri"/>
        <family val="1"/>
      </rPr>
      <t>MATINGUEIROS DO SERTÃO</t>
    </r>
  </si>
  <si>
    <r>
      <rPr>
        <sz val="11"/>
        <rFont val="Calibri"/>
        <family val="1"/>
      </rPr>
      <t>1ª ETAPA</t>
    </r>
  </si>
  <si>
    <r>
      <rPr>
        <sz val="11"/>
        <rFont val="Calibri"/>
        <family val="1"/>
      </rPr>
      <t>2ª ETAPA</t>
    </r>
  </si>
  <si>
    <r>
      <rPr>
        <sz val="11"/>
        <rFont val="Calibri"/>
        <family val="1"/>
      </rPr>
      <t>3ª ETAPA</t>
    </r>
  </si>
  <si>
    <r>
      <rPr>
        <sz val="11"/>
        <rFont val="Calibri"/>
        <family val="1"/>
      </rPr>
      <t>TOTAL</t>
    </r>
  </si>
  <si>
    <r>
      <rPr>
        <b/>
        <sz val="11"/>
        <rFont val="Calibri"/>
        <family val="1"/>
      </rPr>
      <t>FORMIGA DA ROÇA</t>
    </r>
  </si>
  <si>
    <r>
      <rPr>
        <sz val="11"/>
        <rFont val="Calibri"/>
        <family val="1"/>
      </rPr>
      <t>ARROXA O NÓ</t>
    </r>
  </si>
  <si>
    <r>
      <rPr>
        <sz val="11"/>
        <rFont val="Calibri"/>
        <family val="1"/>
      </rPr>
      <t>RASGA O FOLE</t>
    </r>
  </si>
  <si>
    <r>
      <rPr>
        <sz val="11"/>
        <rFont val="Calibri"/>
        <family val="1"/>
      </rPr>
      <t>RIBULIÇO</t>
    </r>
  </si>
  <si>
    <r>
      <rPr>
        <sz val="11"/>
        <rFont val="Calibri"/>
        <family val="1"/>
      </rPr>
      <t>ARRAIÁ DOS MATUTOS</t>
    </r>
  </si>
  <si>
    <r>
      <rPr>
        <sz val="11"/>
        <rFont val="Calibri"/>
        <family val="1"/>
      </rPr>
      <t>SANFONA LASCADA</t>
    </r>
  </si>
  <si>
    <r>
      <rPr>
        <sz val="11"/>
        <rFont val="Calibri"/>
        <family val="1"/>
      </rPr>
      <t>AMOR JUNINO</t>
    </r>
  </si>
  <si>
    <r>
      <rPr>
        <sz val="11"/>
        <rFont val="Calibri"/>
        <family val="1"/>
      </rPr>
      <t>EITA BAGACEIRA</t>
    </r>
  </si>
  <si>
    <r>
      <rPr>
        <sz val="11"/>
        <rFont val="Calibri"/>
        <family val="1"/>
      </rPr>
      <t>XAMEGAR</t>
    </r>
  </si>
  <si>
    <r>
      <rPr>
        <sz val="11"/>
        <rFont val="Calibri"/>
        <family val="1"/>
      </rPr>
      <t>XEM NHEM NHEM</t>
    </r>
  </si>
  <si>
    <r>
      <rPr>
        <sz val="11"/>
        <rFont val="Calibri"/>
        <family val="1"/>
      </rPr>
      <t>CHINELO DE COURO</t>
    </r>
  </si>
  <si>
    <r>
      <rPr>
        <sz val="11"/>
        <rFont val="Calibri"/>
        <family val="1"/>
      </rPr>
      <t>COISAS DA ROÇA</t>
    </r>
  </si>
  <si>
    <r>
      <rPr>
        <sz val="11"/>
        <rFont val="Calibri"/>
        <family val="1"/>
      </rPr>
      <t>PINGA EM MIM</t>
    </r>
  </si>
  <si>
    <r>
      <rPr>
        <sz val="11"/>
        <rFont val="Calibri"/>
        <family val="1"/>
      </rPr>
      <t>OS CABOCLOS DO SERTÃO</t>
    </r>
  </si>
  <si>
    <r>
      <rPr>
        <sz val="11"/>
        <rFont val="Calibri"/>
        <family val="1"/>
      </rPr>
      <t>MATINGUEIROS DO SERTÃO</t>
    </r>
  </si>
  <si>
    <r>
      <rPr>
        <b/>
        <sz val="11"/>
        <rFont val="Calibri"/>
        <family val="1"/>
      </rPr>
      <t>RIBULIÇO</t>
    </r>
  </si>
  <si>
    <r>
      <rPr>
        <sz val="11"/>
        <rFont val="Calibri"/>
        <family val="1"/>
      </rPr>
      <t>FORMIGA DA ROÇA</t>
    </r>
  </si>
  <si>
    <r>
      <rPr>
        <b/>
        <sz val="11"/>
        <rFont val="Calibri"/>
        <family val="1"/>
      </rPr>
      <t>AMOR JUNINO</t>
    </r>
  </si>
  <si>
    <r>
      <rPr>
        <b/>
        <sz val="11"/>
        <rFont val="Calibri"/>
        <family val="1"/>
      </rPr>
      <t>ARROXA O NÓ</t>
    </r>
  </si>
  <si>
    <r>
      <rPr>
        <b/>
        <sz val="11"/>
        <rFont val="Calibri"/>
        <family val="1"/>
      </rPr>
      <t>ARRAIÁ DOS MATUTOS</t>
    </r>
  </si>
  <si>
    <r>
      <rPr>
        <b/>
        <sz val="11"/>
        <rFont val="Calibri"/>
        <family val="1"/>
      </rPr>
      <t>MATINGUEIROS DO SERTÃO</t>
    </r>
  </si>
  <si>
    <t>MÉDIA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</si>
</sst>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color rgb="FF000000"/>
      <name val="Times New Roman"/>
      <charset val="204"/>
    </font>
    <font>
      <b/>
      <sz val="8"/>
      <name val="Calibri"/>
    </font>
    <font>
      <b/>
      <sz val="8"/>
      <color rgb="FF000000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8"/>
      <name val="Calibri"/>
    </font>
    <font>
      <sz val="8"/>
      <color rgb="FFFFFFFF"/>
      <name val="Calibri"/>
      <family val="2"/>
    </font>
    <font>
      <sz val="11"/>
      <name val="Calibri"/>
    </font>
    <font>
      <b/>
      <sz val="11"/>
      <color rgb="FF000000"/>
      <name val="Calibri"/>
      <family val="2"/>
    </font>
    <font>
      <b/>
      <sz val="11"/>
      <name val="Calibri"/>
    </font>
    <font>
      <sz val="11"/>
      <color rgb="FF000000"/>
      <name val="Calibri"/>
      <family val="2"/>
    </font>
    <font>
      <sz val="8"/>
      <name val="Calibri"/>
      <family val="1"/>
    </font>
    <font>
      <b/>
      <sz val="8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D865"/>
      </patternFill>
    </fill>
    <fill>
      <patternFill patternType="solid">
        <fgColor rgb="FFFFFF00"/>
      </patternFill>
    </fill>
    <fill>
      <patternFill patternType="solid">
        <fgColor rgb="FFD8E1F2"/>
      </patternFill>
    </fill>
    <fill>
      <patternFill patternType="solid">
        <fgColor rgb="FF001F5F"/>
      </patternFill>
    </fill>
    <fill>
      <patternFill patternType="solid">
        <fgColor rgb="FFF8CBAC"/>
      </patternFill>
    </fill>
    <fill>
      <patternFill patternType="solid">
        <fgColor rgb="FFFF0000"/>
      </patternFill>
    </fill>
    <fill>
      <patternFill patternType="solid">
        <fgColor rgb="FFDEEBF6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7" fillId="0" borderId="2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1" fontId="8" fillId="3" borderId="2" xfId="0" applyNumberFormat="1" applyFont="1" applyFill="1" applyBorder="1" applyAlignment="1">
      <alignment horizontal="center" vertical="top" shrinkToFit="1"/>
    </xf>
    <xf numFmtId="0" fontId="9" fillId="3" borderId="2" xfId="0" applyFont="1" applyFill="1" applyBorder="1" applyAlignment="1">
      <alignment horizontal="left" vertical="top" wrapText="1"/>
    </xf>
    <xf numFmtId="164" fontId="8" fillId="3" borderId="2" xfId="0" applyNumberFormat="1" applyFont="1" applyFill="1" applyBorder="1" applyAlignment="1">
      <alignment horizontal="right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/>
    </xf>
    <xf numFmtId="164" fontId="10" fillId="8" borderId="2" xfId="0" applyNumberFormat="1" applyFont="1" applyFill="1" applyBorder="1" applyAlignment="1">
      <alignment horizontal="right" vertical="top" shrinkToFit="1"/>
    </xf>
    <xf numFmtId="164" fontId="10" fillId="0" borderId="2" xfId="0" applyNumberFormat="1" applyFont="1" applyBorder="1" applyAlignment="1">
      <alignment horizontal="right" vertical="top" shrinkToFit="1"/>
    </xf>
    <xf numFmtId="2" fontId="0" fillId="0" borderId="1" xfId="0" applyNumberFormat="1" applyBorder="1" applyAlignment="1">
      <alignment horizontal="left" wrapText="1"/>
    </xf>
    <xf numFmtId="2" fontId="1" fillId="2" borderId="2" xfId="0" applyNumberFormat="1" applyFont="1" applyFill="1" applyBorder="1" applyAlignment="1">
      <alignment horizontal="left" vertical="top" wrapText="1" indent="4"/>
    </xf>
    <xf numFmtId="2" fontId="1" fillId="2" borderId="2" xfId="0" applyNumberFormat="1" applyFont="1" applyFill="1" applyBorder="1" applyAlignment="1">
      <alignment horizontal="left" vertical="top" wrapText="1" indent="1"/>
    </xf>
    <xf numFmtId="2" fontId="1" fillId="2" borderId="2" xfId="0" applyNumberFormat="1" applyFont="1" applyFill="1" applyBorder="1" applyAlignment="1">
      <alignment horizontal="left" vertical="top" wrapText="1" indent="2"/>
    </xf>
    <xf numFmtId="2" fontId="1" fillId="3" borderId="2" xfId="0" applyNumberFormat="1" applyFont="1" applyFill="1" applyBorder="1" applyAlignment="1">
      <alignment horizontal="left" vertical="top" wrapText="1" indent="2"/>
    </xf>
    <xf numFmtId="2" fontId="0" fillId="0" borderId="0" xfId="0" applyNumberFormat="1" applyAlignment="1">
      <alignment horizontal="left" vertical="top"/>
    </xf>
    <xf numFmtId="2" fontId="2" fillId="4" borderId="2" xfId="0" applyNumberFormat="1" applyFont="1" applyFill="1" applyBorder="1" applyAlignment="1">
      <alignment horizontal="center" vertical="top" shrinkToFit="1"/>
    </xf>
    <xf numFmtId="2" fontId="1" fillId="4" borderId="2" xfId="0" applyNumberFormat="1" applyFont="1" applyFill="1" applyBorder="1" applyAlignment="1">
      <alignment horizontal="left" vertical="top" wrapText="1"/>
    </xf>
    <xf numFmtId="2" fontId="2" fillId="4" borderId="2" xfId="0" applyNumberFormat="1" applyFont="1" applyFill="1" applyBorder="1" applyAlignment="1">
      <alignment horizontal="right" vertical="top" shrinkToFit="1"/>
    </xf>
    <xf numFmtId="2" fontId="3" fillId="5" borderId="2" xfId="0" applyNumberFormat="1" applyFont="1" applyFill="1" applyBorder="1" applyAlignment="1">
      <alignment horizontal="right" vertical="top" shrinkToFit="1"/>
    </xf>
    <xf numFmtId="2" fontId="4" fillId="0" borderId="2" xfId="0" applyNumberFormat="1" applyFont="1" applyBorder="1" applyAlignment="1">
      <alignment horizontal="center" vertical="top" shrinkToFit="1"/>
    </xf>
    <xf numFmtId="2" fontId="5" fillId="0" borderId="2" xfId="0" applyNumberFormat="1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right" vertical="top" shrinkToFit="1"/>
    </xf>
    <xf numFmtId="2" fontId="4" fillId="3" borderId="2" xfId="0" applyNumberFormat="1" applyFont="1" applyFill="1" applyBorder="1" applyAlignment="1">
      <alignment horizontal="right" vertical="top" shrinkToFit="1"/>
    </xf>
    <xf numFmtId="2" fontId="4" fillId="6" borderId="2" xfId="0" applyNumberFormat="1" applyFont="1" applyFill="1" applyBorder="1" applyAlignment="1">
      <alignment horizontal="center" vertical="top" shrinkToFit="1"/>
    </xf>
    <xf numFmtId="2" fontId="5" fillId="6" borderId="2" xfId="0" applyNumberFormat="1" applyFont="1" applyFill="1" applyBorder="1" applyAlignment="1">
      <alignment horizontal="left" vertical="top" wrapText="1"/>
    </xf>
    <xf numFmtId="2" fontId="4" fillId="6" borderId="2" xfId="0" applyNumberFormat="1" applyFont="1" applyFill="1" applyBorder="1" applyAlignment="1">
      <alignment horizontal="right" vertical="top" shrinkToFit="1"/>
    </xf>
    <xf numFmtId="2" fontId="6" fillId="7" borderId="2" xfId="0" applyNumberFormat="1" applyFont="1" applyFill="1" applyBorder="1" applyAlignment="1">
      <alignment horizontal="right" vertical="top" shrinkToFit="1"/>
    </xf>
    <xf numFmtId="0" fontId="15" fillId="0" borderId="0" xfId="0" applyFont="1" applyAlignment="1">
      <alignment horizontal="left" vertical="top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1" fontId="10" fillId="0" borderId="4" xfId="0" applyNumberFormat="1" applyFont="1" applyBorder="1" applyAlignment="1">
      <alignment horizontal="left" vertical="top" shrinkToFit="1"/>
    </xf>
    <xf numFmtId="1" fontId="10" fillId="0" borderId="5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F8" sqref="F8"/>
    </sheetView>
  </sheetViews>
  <sheetFormatPr defaultRowHeight="12.75"/>
  <cols>
    <col min="1" max="1" width="2.5" customWidth="1"/>
    <col min="2" max="2" width="26" customWidth="1"/>
    <col min="3" max="6" width="13.33203125" customWidth="1"/>
  </cols>
  <sheetData>
    <row r="1" spans="1:9" ht="13.7" customHeight="1">
      <c r="A1" s="10"/>
      <c r="B1" s="11" t="s">
        <v>0</v>
      </c>
      <c r="C1" s="12" t="s">
        <v>1</v>
      </c>
      <c r="D1" s="13" t="s">
        <v>2</v>
      </c>
      <c r="E1" s="13" t="s">
        <v>3</v>
      </c>
      <c r="F1" s="14" t="s">
        <v>4</v>
      </c>
      <c r="G1" s="15"/>
      <c r="H1" s="15"/>
      <c r="I1" s="15" t="s">
        <v>45</v>
      </c>
    </row>
    <row r="2" spans="1:9" ht="13.7" customHeight="1">
      <c r="A2" s="16">
        <v>1</v>
      </c>
      <c r="B2" s="17" t="s">
        <v>5</v>
      </c>
      <c r="C2" s="18">
        <v>179.4</v>
      </c>
      <c r="D2" s="18">
        <v>179.9</v>
      </c>
      <c r="E2" s="18">
        <v>179.6</v>
      </c>
      <c r="F2" s="19">
        <v>538.9</v>
      </c>
      <c r="G2">
        <f t="shared" ref="G2:G16" si="0">F2/COUNTIF(C2:E2,"&lt;&gt;0")</f>
        <v>179.63333333333333</v>
      </c>
      <c r="H2">
        <f t="shared" ref="H2:H16" si="1">G2/6</f>
        <v>29.938888888888886</v>
      </c>
      <c r="I2">
        <f t="shared" ref="I2:I16" si="2">H2/3</f>
        <v>9.9796296296296294</v>
      </c>
    </row>
    <row r="3" spans="1:9" ht="13.7" customHeight="1">
      <c r="A3" s="16">
        <v>2</v>
      </c>
      <c r="B3" s="17" t="s">
        <v>6</v>
      </c>
      <c r="C3" s="18">
        <v>178.4</v>
      </c>
      <c r="D3" s="18">
        <v>179.8</v>
      </c>
      <c r="E3" s="18">
        <v>180</v>
      </c>
      <c r="F3" s="19">
        <v>538.20000000000005</v>
      </c>
      <c r="G3">
        <f t="shared" si="0"/>
        <v>179.4</v>
      </c>
      <c r="H3">
        <f t="shared" si="1"/>
        <v>29.900000000000002</v>
      </c>
      <c r="I3">
        <f t="shared" si="2"/>
        <v>9.9666666666666668</v>
      </c>
    </row>
    <row r="4" spans="1:9" ht="13.7" customHeight="1">
      <c r="A4" s="16">
        <v>3</v>
      </c>
      <c r="B4" s="17" t="s">
        <v>7</v>
      </c>
      <c r="C4" s="18">
        <v>178.9</v>
      </c>
      <c r="D4" s="18">
        <v>179</v>
      </c>
      <c r="E4" s="18">
        <v>179.2</v>
      </c>
      <c r="F4" s="19">
        <v>537.1</v>
      </c>
      <c r="G4">
        <f t="shared" si="0"/>
        <v>179.03333333333333</v>
      </c>
      <c r="H4">
        <f t="shared" si="1"/>
        <v>29.838888888888889</v>
      </c>
      <c r="I4">
        <f t="shared" si="2"/>
        <v>9.9462962962962962</v>
      </c>
    </row>
    <row r="5" spans="1:9" ht="13.7" customHeight="1">
      <c r="A5" s="20">
        <v>4</v>
      </c>
      <c r="B5" s="21" t="s">
        <v>8</v>
      </c>
      <c r="C5" s="22">
        <v>178.3</v>
      </c>
      <c r="D5" s="22">
        <v>177.4</v>
      </c>
      <c r="E5" s="22">
        <v>179.6</v>
      </c>
      <c r="F5" s="23">
        <v>535.29999999999995</v>
      </c>
      <c r="G5">
        <f t="shared" si="0"/>
        <v>178.43333333333331</v>
      </c>
      <c r="H5">
        <f t="shared" si="1"/>
        <v>29.738888888888884</v>
      </c>
      <c r="I5">
        <f t="shared" si="2"/>
        <v>9.9129629629629612</v>
      </c>
    </row>
    <row r="6" spans="1:9" ht="13.7" customHeight="1">
      <c r="A6" s="20">
        <v>5</v>
      </c>
      <c r="B6" s="21" t="s">
        <v>9</v>
      </c>
      <c r="C6" s="22">
        <v>177.6</v>
      </c>
      <c r="D6" s="22">
        <v>179.1</v>
      </c>
      <c r="E6" s="22">
        <v>178.4</v>
      </c>
      <c r="F6" s="23">
        <v>535.1</v>
      </c>
      <c r="G6">
        <f t="shared" si="0"/>
        <v>178.36666666666667</v>
      </c>
      <c r="H6">
        <f t="shared" si="1"/>
        <v>29.727777777777778</v>
      </c>
      <c r="I6">
        <f t="shared" si="2"/>
        <v>9.9092592592592599</v>
      </c>
    </row>
    <row r="7" spans="1:9" ht="13.7" customHeight="1">
      <c r="A7" s="20">
        <v>6</v>
      </c>
      <c r="B7" s="21" t="s">
        <v>10</v>
      </c>
      <c r="C7" s="22">
        <v>177.3</v>
      </c>
      <c r="D7" s="22">
        <v>178.6</v>
      </c>
      <c r="E7" s="22">
        <v>178.9</v>
      </c>
      <c r="F7" s="23">
        <v>534.79999999999995</v>
      </c>
      <c r="G7">
        <f t="shared" si="0"/>
        <v>178.26666666666665</v>
      </c>
      <c r="H7">
        <f t="shared" si="1"/>
        <v>29.711111111111109</v>
      </c>
      <c r="I7">
        <f t="shared" si="2"/>
        <v>9.9037037037037035</v>
      </c>
    </row>
    <row r="8" spans="1:9" ht="13.7" customHeight="1">
      <c r="A8" s="20">
        <v>7</v>
      </c>
      <c r="B8" s="21" t="s">
        <v>11</v>
      </c>
      <c r="C8" s="22">
        <v>176.4</v>
      </c>
      <c r="D8" s="22">
        <v>179.6</v>
      </c>
      <c r="E8" s="22">
        <v>178.8</v>
      </c>
      <c r="F8" s="23">
        <v>534.79999999999995</v>
      </c>
      <c r="G8">
        <f t="shared" si="0"/>
        <v>178.26666666666665</v>
      </c>
      <c r="H8">
        <f t="shared" si="1"/>
        <v>29.711111111111109</v>
      </c>
      <c r="I8">
        <f t="shared" si="2"/>
        <v>9.9037037037037035</v>
      </c>
    </row>
    <row r="9" spans="1:9" ht="13.7" customHeight="1">
      <c r="A9" s="20">
        <v>8</v>
      </c>
      <c r="B9" s="21" t="s">
        <v>12</v>
      </c>
      <c r="C9" s="22">
        <v>177.4</v>
      </c>
      <c r="D9" s="22">
        <v>178.5</v>
      </c>
      <c r="E9" s="22">
        <v>178.7</v>
      </c>
      <c r="F9" s="23">
        <v>534.6</v>
      </c>
      <c r="G9">
        <f t="shared" si="0"/>
        <v>178.20000000000002</v>
      </c>
      <c r="H9">
        <f t="shared" si="1"/>
        <v>29.700000000000003</v>
      </c>
      <c r="I9">
        <f t="shared" si="2"/>
        <v>9.9</v>
      </c>
    </row>
    <row r="10" spans="1:9" ht="13.7" customHeight="1">
      <c r="A10" s="20">
        <v>9</v>
      </c>
      <c r="B10" s="21" t="s">
        <v>13</v>
      </c>
      <c r="C10" s="22">
        <v>178.1</v>
      </c>
      <c r="D10" s="22">
        <v>177.3</v>
      </c>
      <c r="E10" s="22">
        <v>178.7</v>
      </c>
      <c r="F10" s="23">
        <v>534.1</v>
      </c>
      <c r="G10">
        <f t="shared" si="0"/>
        <v>178.03333333333333</v>
      </c>
      <c r="H10">
        <f t="shared" si="1"/>
        <v>29.672222222222221</v>
      </c>
      <c r="I10">
        <f t="shared" si="2"/>
        <v>9.8907407407407408</v>
      </c>
    </row>
    <row r="11" spans="1:9" ht="13.7" customHeight="1">
      <c r="A11" s="20">
        <v>10</v>
      </c>
      <c r="B11" s="21" t="s">
        <v>14</v>
      </c>
      <c r="C11" s="22">
        <v>175.7</v>
      </c>
      <c r="D11" s="22">
        <v>178.1</v>
      </c>
      <c r="E11" s="22">
        <v>178.9</v>
      </c>
      <c r="F11" s="23">
        <v>532.70000000000005</v>
      </c>
      <c r="G11">
        <f t="shared" si="0"/>
        <v>177.56666666666669</v>
      </c>
      <c r="H11">
        <f t="shared" si="1"/>
        <v>29.594444444444449</v>
      </c>
      <c r="I11">
        <f t="shared" si="2"/>
        <v>9.8648148148148156</v>
      </c>
    </row>
    <row r="12" spans="1:9" ht="13.7" customHeight="1">
      <c r="A12" s="20">
        <v>11</v>
      </c>
      <c r="B12" s="21" t="s">
        <v>15</v>
      </c>
      <c r="C12" s="22">
        <v>177.8</v>
      </c>
      <c r="D12" s="22">
        <v>177.2</v>
      </c>
      <c r="E12" s="22">
        <v>177.7</v>
      </c>
      <c r="F12" s="23">
        <v>532.70000000000005</v>
      </c>
      <c r="G12">
        <f t="shared" si="0"/>
        <v>177.56666666666669</v>
      </c>
      <c r="H12">
        <f t="shared" si="1"/>
        <v>29.594444444444449</v>
      </c>
      <c r="I12">
        <f t="shared" si="2"/>
        <v>9.8648148148148156</v>
      </c>
    </row>
    <row r="13" spans="1:9" ht="13.7" customHeight="1">
      <c r="A13" s="20">
        <v>12</v>
      </c>
      <c r="B13" s="21" t="s">
        <v>16</v>
      </c>
      <c r="C13" s="22">
        <v>176.7</v>
      </c>
      <c r="D13" s="22">
        <v>178.3</v>
      </c>
      <c r="E13" s="22">
        <v>177.3</v>
      </c>
      <c r="F13" s="23">
        <v>532.29999999999995</v>
      </c>
      <c r="G13">
        <f t="shared" si="0"/>
        <v>177.43333333333331</v>
      </c>
      <c r="H13">
        <f t="shared" si="1"/>
        <v>29.572222222222219</v>
      </c>
      <c r="I13">
        <f t="shared" si="2"/>
        <v>9.8574074074074058</v>
      </c>
    </row>
    <row r="14" spans="1:9" ht="13.7" customHeight="1">
      <c r="A14" s="24">
        <v>13</v>
      </c>
      <c r="B14" s="25" t="s">
        <v>17</v>
      </c>
      <c r="C14" s="26">
        <v>175.4</v>
      </c>
      <c r="D14" s="26">
        <v>176.9</v>
      </c>
      <c r="E14" s="26">
        <v>178.3</v>
      </c>
      <c r="F14" s="27">
        <v>530.6</v>
      </c>
      <c r="G14">
        <f t="shared" si="0"/>
        <v>176.86666666666667</v>
      </c>
      <c r="H14">
        <f t="shared" si="1"/>
        <v>29.477777777777778</v>
      </c>
      <c r="I14">
        <f t="shared" si="2"/>
        <v>9.825925925925926</v>
      </c>
    </row>
    <row r="15" spans="1:9" ht="13.7" customHeight="1">
      <c r="A15" s="24">
        <v>14</v>
      </c>
      <c r="B15" s="25" t="s">
        <v>18</v>
      </c>
      <c r="C15" s="26">
        <v>175.2</v>
      </c>
      <c r="D15" s="26">
        <v>176.3</v>
      </c>
      <c r="E15" s="26">
        <v>178.2</v>
      </c>
      <c r="F15" s="27">
        <v>529.70000000000005</v>
      </c>
      <c r="G15">
        <f t="shared" si="0"/>
        <v>176.56666666666669</v>
      </c>
      <c r="H15">
        <f t="shared" si="1"/>
        <v>29.427777777777781</v>
      </c>
      <c r="I15">
        <f t="shared" si="2"/>
        <v>9.8092592592592602</v>
      </c>
    </row>
    <row r="16" spans="1:9" ht="13.7" customHeight="1">
      <c r="A16" s="24">
        <v>15</v>
      </c>
      <c r="B16" s="25" t="s">
        <v>19</v>
      </c>
      <c r="C16" s="26">
        <v>175.7</v>
      </c>
      <c r="D16" s="26">
        <v>175.7</v>
      </c>
      <c r="E16" s="26">
        <v>178.1</v>
      </c>
      <c r="F16" s="27">
        <v>529.5</v>
      </c>
      <c r="G16">
        <f t="shared" si="0"/>
        <v>176.5</v>
      </c>
      <c r="H16">
        <f t="shared" si="1"/>
        <v>29.416666666666668</v>
      </c>
      <c r="I16">
        <f t="shared" si="2"/>
        <v>9.8055555555555554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sqref="A1:XFD1048576"/>
    </sheetView>
  </sheetViews>
  <sheetFormatPr defaultRowHeight="12.75"/>
  <cols>
    <col min="1" max="1" width="3.33203125" customWidth="1"/>
    <col min="2" max="2" width="37.33203125" customWidth="1"/>
    <col min="3" max="3" width="17.83203125" customWidth="1"/>
    <col min="4" max="4" width="18" customWidth="1"/>
    <col min="5" max="6" width="17.83203125" customWidth="1"/>
    <col min="8" max="8" width="12.1640625" customWidth="1"/>
  </cols>
  <sheetData>
    <row r="1" spans="1:8" ht="18" customHeight="1">
      <c r="A1" s="29"/>
      <c r="B1" s="30"/>
      <c r="C1" s="1" t="s">
        <v>20</v>
      </c>
      <c r="D1" s="1" t="s">
        <v>21</v>
      </c>
      <c r="E1" s="1" t="s">
        <v>22</v>
      </c>
      <c r="F1" s="2" t="s">
        <v>23</v>
      </c>
      <c r="H1" s="28" t="s">
        <v>45</v>
      </c>
    </row>
    <row r="2" spans="1:8" ht="18" customHeight="1">
      <c r="A2" s="3">
        <v>1</v>
      </c>
      <c r="B2" s="4" t="s">
        <v>24</v>
      </c>
      <c r="C2" s="5">
        <v>29.8</v>
      </c>
      <c r="D2" s="5">
        <v>29.9</v>
      </c>
      <c r="E2" s="5">
        <v>29.8</v>
      </c>
      <c r="F2" s="5">
        <v>89.5</v>
      </c>
      <c r="G2">
        <f t="shared" ref="G2:G16" si="0">F2/COUNTIF(C2:E2,"&lt;&gt;0")</f>
        <v>29.833333333333332</v>
      </c>
      <c r="H2">
        <f t="shared" ref="H2:H16" si="1">G2/3</f>
        <v>9.9444444444444446</v>
      </c>
    </row>
    <row r="3" spans="1:8" ht="18" customHeight="1">
      <c r="A3" s="6">
        <v>2</v>
      </c>
      <c r="B3" s="7" t="s">
        <v>25</v>
      </c>
      <c r="C3" s="8">
        <v>29.1</v>
      </c>
      <c r="D3" s="8">
        <v>29.8</v>
      </c>
      <c r="E3" s="8">
        <v>30</v>
      </c>
      <c r="F3" s="9">
        <v>88.9</v>
      </c>
      <c r="G3">
        <f t="shared" si="0"/>
        <v>29.633333333333336</v>
      </c>
      <c r="H3">
        <f t="shared" si="1"/>
        <v>9.8777777777777782</v>
      </c>
    </row>
    <row r="4" spans="1:8" ht="18" customHeight="1">
      <c r="A4" s="6">
        <v>3</v>
      </c>
      <c r="B4" s="7" t="s">
        <v>26</v>
      </c>
      <c r="C4" s="8">
        <v>29</v>
      </c>
      <c r="D4" s="8">
        <v>29.5</v>
      </c>
      <c r="E4" s="8">
        <v>30</v>
      </c>
      <c r="F4" s="9">
        <v>88.5</v>
      </c>
      <c r="G4">
        <f t="shared" si="0"/>
        <v>29.5</v>
      </c>
      <c r="H4">
        <f t="shared" si="1"/>
        <v>9.8333333333333339</v>
      </c>
    </row>
    <row r="5" spans="1:8" ht="18" customHeight="1">
      <c r="A5" s="6">
        <v>4</v>
      </c>
      <c r="B5" s="7" t="s">
        <v>27</v>
      </c>
      <c r="C5" s="8">
        <v>29.4</v>
      </c>
      <c r="D5" s="8">
        <v>29.5</v>
      </c>
      <c r="E5" s="8">
        <v>29.5</v>
      </c>
      <c r="F5" s="9">
        <v>88.4</v>
      </c>
      <c r="G5">
        <f t="shared" si="0"/>
        <v>29.466666666666669</v>
      </c>
      <c r="H5">
        <f t="shared" si="1"/>
        <v>9.8222222222222229</v>
      </c>
    </row>
    <row r="6" spans="1:8" ht="18" customHeight="1">
      <c r="A6" s="6">
        <v>5</v>
      </c>
      <c r="B6" s="7" t="s">
        <v>28</v>
      </c>
      <c r="C6" s="8">
        <v>29.1</v>
      </c>
      <c r="D6" s="8">
        <v>29.7</v>
      </c>
      <c r="E6" s="8">
        <v>29.5</v>
      </c>
      <c r="F6" s="9">
        <v>88.3</v>
      </c>
      <c r="G6">
        <f t="shared" si="0"/>
        <v>29.433333333333334</v>
      </c>
      <c r="H6">
        <f t="shared" si="1"/>
        <v>9.8111111111111118</v>
      </c>
    </row>
    <row r="7" spans="1:8" ht="18" customHeight="1">
      <c r="A7" s="6">
        <v>6</v>
      </c>
      <c r="B7" s="7" t="s">
        <v>29</v>
      </c>
      <c r="C7" s="8">
        <v>29</v>
      </c>
      <c r="D7" s="8">
        <v>29.4</v>
      </c>
      <c r="E7" s="8">
        <v>29.7</v>
      </c>
      <c r="F7" s="9">
        <v>88.1</v>
      </c>
      <c r="G7">
        <f t="shared" si="0"/>
        <v>29.366666666666664</v>
      </c>
      <c r="H7">
        <f t="shared" si="1"/>
        <v>9.7888888888888879</v>
      </c>
    </row>
    <row r="8" spans="1:8" ht="18" customHeight="1">
      <c r="A8" s="6">
        <v>7</v>
      </c>
      <c r="B8" s="7" t="s">
        <v>30</v>
      </c>
      <c r="C8" s="8">
        <v>28.4</v>
      </c>
      <c r="D8" s="8">
        <v>29.8</v>
      </c>
      <c r="E8" s="8">
        <v>29.6</v>
      </c>
      <c r="F8" s="9">
        <v>87.8</v>
      </c>
      <c r="G8">
        <f t="shared" si="0"/>
        <v>29.266666666666666</v>
      </c>
      <c r="H8">
        <f t="shared" si="1"/>
        <v>9.7555555555555546</v>
      </c>
    </row>
    <row r="9" spans="1:8" ht="18" customHeight="1">
      <c r="A9" s="6">
        <v>8</v>
      </c>
      <c r="B9" s="7" t="s">
        <v>31</v>
      </c>
      <c r="C9" s="8">
        <v>28.8</v>
      </c>
      <c r="D9" s="8">
        <v>29.4</v>
      </c>
      <c r="E9" s="8">
        <v>29.5</v>
      </c>
      <c r="F9" s="9">
        <v>87.7</v>
      </c>
      <c r="G9">
        <f t="shared" si="0"/>
        <v>29.233333333333334</v>
      </c>
      <c r="H9">
        <f t="shared" si="1"/>
        <v>9.7444444444444454</v>
      </c>
    </row>
    <row r="10" spans="1:8" ht="18" customHeight="1">
      <c r="A10" s="6">
        <v>9</v>
      </c>
      <c r="B10" s="7" t="s">
        <v>32</v>
      </c>
      <c r="C10" s="8">
        <v>28.9</v>
      </c>
      <c r="D10" s="8">
        <v>29.2</v>
      </c>
      <c r="E10" s="8">
        <v>29.5</v>
      </c>
      <c r="F10" s="9">
        <v>87.6</v>
      </c>
      <c r="G10">
        <f t="shared" si="0"/>
        <v>29.2</v>
      </c>
      <c r="H10">
        <f t="shared" si="1"/>
        <v>9.7333333333333325</v>
      </c>
    </row>
    <row r="11" spans="1:8" ht="18" customHeight="1">
      <c r="A11" s="31">
        <v>10</v>
      </c>
      <c r="B11" s="7" t="s">
        <v>33</v>
      </c>
      <c r="C11" s="8">
        <v>29.1</v>
      </c>
      <c r="D11" s="8">
        <v>29.1</v>
      </c>
      <c r="E11" s="8">
        <v>29.3</v>
      </c>
      <c r="F11" s="9">
        <v>87.5</v>
      </c>
      <c r="G11">
        <f t="shared" si="0"/>
        <v>29.166666666666668</v>
      </c>
      <c r="H11">
        <f t="shared" si="1"/>
        <v>9.7222222222222232</v>
      </c>
    </row>
    <row r="12" spans="1:8" ht="18" customHeight="1">
      <c r="A12" s="32"/>
      <c r="B12" s="7" t="s">
        <v>34</v>
      </c>
      <c r="C12" s="8">
        <v>28.7</v>
      </c>
      <c r="D12" s="8">
        <v>29.3</v>
      </c>
      <c r="E12" s="8">
        <v>29.5</v>
      </c>
      <c r="F12" s="9">
        <v>87.5</v>
      </c>
      <c r="G12">
        <f t="shared" si="0"/>
        <v>29.166666666666668</v>
      </c>
      <c r="H12">
        <f t="shared" si="1"/>
        <v>9.7222222222222232</v>
      </c>
    </row>
    <row r="13" spans="1:8" ht="18" customHeight="1">
      <c r="A13" s="6">
        <v>12</v>
      </c>
      <c r="B13" s="7" t="s">
        <v>35</v>
      </c>
      <c r="C13" s="8">
        <v>28.6</v>
      </c>
      <c r="D13" s="8">
        <v>29.3</v>
      </c>
      <c r="E13" s="8">
        <v>29.4</v>
      </c>
      <c r="F13" s="9">
        <v>87.3</v>
      </c>
      <c r="G13">
        <f t="shared" si="0"/>
        <v>29.099999999999998</v>
      </c>
      <c r="H13">
        <f t="shared" si="1"/>
        <v>9.6999999999999993</v>
      </c>
    </row>
    <row r="14" spans="1:8" ht="18" customHeight="1">
      <c r="A14" s="6">
        <v>13</v>
      </c>
      <c r="B14" s="7" t="s">
        <v>36</v>
      </c>
      <c r="C14" s="8">
        <v>28.6</v>
      </c>
      <c r="D14" s="8">
        <v>29.6</v>
      </c>
      <c r="E14" s="8">
        <v>29</v>
      </c>
      <c r="F14" s="9">
        <v>87.2</v>
      </c>
      <c r="G14">
        <f t="shared" si="0"/>
        <v>29.066666666666666</v>
      </c>
      <c r="H14">
        <f t="shared" si="1"/>
        <v>9.6888888888888882</v>
      </c>
    </row>
    <row r="15" spans="1:8" ht="18" customHeight="1">
      <c r="A15" s="6">
        <v>14</v>
      </c>
      <c r="B15" s="7" t="s">
        <v>37</v>
      </c>
      <c r="C15" s="8">
        <v>28.2</v>
      </c>
      <c r="D15" s="8">
        <v>29.2</v>
      </c>
      <c r="E15" s="8">
        <v>29.7</v>
      </c>
      <c r="F15" s="9">
        <v>87.1</v>
      </c>
      <c r="G15">
        <f t="shared" si="0"/>
        <v>29.033333333333331</v>
      </c>
      <c r="H15">
        <f t="shared" si="1"/>
        <v>9.6777777777777771</v>
      </c>
    </row>
    <row r="16" spans="1:8" ht="18" customHeight="1">
      <c r="A16" s="6">
        <v>15</v>
      </c>
      <c r="B16" s="7" t="s">
        <v>38</v>
      </c>
      <c r="C16" s="8">
        <v>28.5</v>
      </c>
      <c r="D16" s="8">
        <v>28.8</v>
      </c>
      <c r="E16" s="8">
        <v>29.1</v>
      </c>
      <c r="F16" s="9">
        <v>86.4</v>
      </c>
      <c r="G16">
        <f t="shared" si="0"/>
        <v>28.8</v>
      </c>
      <c r="H16">
        <f t="shared" si="1"/>
        <v>9.6</v>
      </c>
    </row>
  </sheetData>
  <mergeCells count="2">
    <mergeCell ref="A1:B1"/>
    <mergeCell ref="A11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sqref="A1:XFD1048576"/>
    </sheetView>
  </sheetViews>
  <sheetFormatPr defaultRowHeight="12.75"/>
  <cols>
    <col min="1" max="1" width="3.33203125" customWidth="1"/>
    <col min="2" max="2" width="37.33203125" customWidth="1"/>
    <col min="3" max="3" width="17.83203125" customWidth="1"/>
    <col min="4" max="4" width="18" customWidth="1"/>
    <col min="5" max="6" width="17.83203125" customWidth="1"/>
    <col min="8" max="8" width="12.1640625" customWidth="1"/>
  </cols>
  <sheetData>
    <row r="1" spans="1:8" ht="18" customHeight="1">
      <c r="A1" s="29"/>
      <c r="B1" s="30"/>
      <c r="C1" s="1" t="s">
        <v>20</v>
      </c>
      <c r="D1" s="1" t="s">
        <v>21</v>
      </c>
      <c r="E1" s="1" t="s">
        <v>22</v>
      </c>
      <c r="F1" s="2" t="s">
        <v>23</v>
      </c>
      <c r="H1" s="28" t="s">
        <v>45</v>
      </c>
    </row>
    <row r="2" spans="1:8" ht="18" customHeight="1">
      <c r="A2" s="3">
        <v>1</v>
      </c>
      <c r="B2" s="4" t="s">
        <v>39</v>
      </c>
      <c r="C2" s="5">
        <v>30</v>
      </c>
      <c r="D2" s="5">
        <v>29.8</v>
      </c>
      <c r="E2" s="5">
        <v>30</v>
      </c>
      <c r="F2" s="5">
        <v>89.8</v>
      </c>
      <c r="G2">
        <f t="shared" ref="G2:G16" si="0">F2/COUNTIF(C2:E2,"&lt;&gt;0")</f>
        <v>29.933333333333334</v>
      </c>
      <c r="H2">
        <f t="shared" ref="H2:H16" si="1">G2/3</f>
        <v>9.9777777777777779</v>
      </c>
    </row>
    <row r="3" spans="1:8" ht="18" customHeight="1">
      <c r="A3" s="6">
        <v>2</v>
      </c>
      <c r="B3" s="7" t="s">
        <v>25</v>
      </c>
      <c r="C3" s="8">
        <v>29.7</v>
      </c>
      <c r="D3" s="8">
        <v>30</v>
      </c>
      <c r="E3" s="8">
        <v>30</v>
      </c>
      <c r="F3" s="9">
        <v>89.7</v>
      </c>
      <c r="G3">
        <f t="shared" si="0"/>
        <v>29.900000000000002</v>
      </c>
      <c r="H3">
        <f t="shared" si="1"/>
        <v>9.9666666666666668</v>
      </c>
    </row>
    <row r="4" spans="1:8" ht="18" customHeight="1">
      <c r="A4" s="6">
        <v>3</v>
      </c>
      <c r="B4" s="7" t="s">
        <v>40</v>
      </c>
      <c r="C4" s="8">
        <v>29.6</v>
      </c>
      <c r="D4" s="8">
        <v>30</v>
      </c>
      <c r="E4" s="8">
        <v>30</v>
      </c>
      <c r="F4" s="9">
        <v>89.6</v>
      </c>
      <c r="G4">
        <f t="shared" si="0"/>
        <v>29.866666666666664</v>
      </c>
      <c r="H4">
        <f t="shared" si="1"/>
        <v>9.9555555555555539</v>
      </c>
    </row>
    <row r="5" spans="1:8" ht="18" customHeight="1">
      <c r="A5" s="6">
        <v>4</v>
      </c>
      <c r="B5" s="7" t="s">
        <v>26</v>
      </c>
      <c r="C5" s="8">
        <v>29.2</v>
      </c>
      <c r="D5" s="8">
        <v>30</v>
      </c>
      <c r="E5" s="8">
        <v>30</v>
      </c>
      <c r="F5" s="9">
        <v>89.2</v>
      </c>
      <c r="G5">
        <f t="shared" si="0"/>
        <v>29.733333333333334</v>
      </c>
      <c r="H5">
        <f t="shared" si="1"/>
        <v>9.9111111111111114</v>
      </c>
    </row>
    <row r="6" spans="1:8" ht="18" customHeight="1">
      <c r="A6" s="6">
        <v>5</v>
      </c>
      <c r="B6" s="7" t="s">
        <v>28</v>
      </c>
      <c r="C6" s="8">
        <v>29.4</v>
      </c>
      <c r="D6" s="8">
        <v>30</v>
      </c>
      <c r="E6" s="8">
        <v>29.7</v>
      </c>
      <c r="F6" s="9">
        <v>89.1</v>
      </c>
      <c r="G6">
        <f t="shared" si="0"/>
        <v>29.7</v>
      </c>
      <c r="H6">
        <f t="shared" si="1"/>
        <v>9.9</v>
      </c>
    </row>
    <row r="7" spans="1:8" ht="18" customHeight="1">
      <c r="A7" s="6"/>
      <c r="B7" s="7" t="s">
        <v>36</v>
      </c>
      <c r="C7" s="8">
        <v>29.6</v>
      </c>
      <c r="D7" s="8">
        <v>29.9</v>
      </c>
      <c r="E7" s="8">
        <v>29.6</v>
      </c>
      <c r="F7" s="9">
        <v>89.1</v>
      </c>
      <c r="G7">
        <f t="shared" si="0"/>
        <v>29.7</v>
      </c>
      <c r="H7">
        <f t="shared" si="1"/>
        <v>9.9</v>
      </c>
    </row>
    <row r="8" spans="1:8" ht="18" customHeight="1">
      <c r="A8" s="6">
        <v>7</v>
      </c>
      <c r="B8" s="7" t="s">
        <v>35</v>
      </c>
      <c r="C8" s="8">
        <v>29.3</v>
      </c>
      <c r="D8" s="8">
        <v>29.6</v>
      </c>
      <c r="E8" s="8">
        <v>30</v>
      </c>
      <c r="F8" s="9">
        <v>88.9</v>
      </c>
      <c r="G8">
        <f t="shared" si="0"/>
        <v>29.633333333333336</v>
      </c>
      <c r="H8">
        <f t="shared" si="1"/>
        <v>9.8777777777777782</v>
      </c>
    </row>
    <row r="9" spans="1:8" ht="18" customHeight="1">
      <c r="A9" s="6"/>
      <c r="B9" s="7" t="s">
        <v>29</v>
      </c>
      <c r="C9" s="8">
        <v>29.5</v>
      </c>
      <c r="D9" s="8">
        <v>29.5</v>
      </c>
      <c r="E9" s="8">
        <v>29.9</v>
      </c>
      <c r="F9" s="9">
        <v>88.9</v>
      </c>
      <c r="G9">
        <f t="shared" si="0"/>
        <v>29.633333333333336</v>
      </c>
      <c r="H9">
        <f t="shared" si="1"/>
        <v>9.8777777777777782</v>
      </c>
    </row>
    <row r="10" spans="1:8" ht="18" customHeight="1">
      <c r="A10" s="6">
        <v>9</v>
      </c>
      <c r="B10" s="7" t="s">
        <v>38</v>
      </c>
      <c r="C10" s="8">
        <v>29.5</v>
      </c>
      <c r="D10" s="8">
        <v>29.3</v>
      </c>
      <c r="E10" s="8">
        <v>30</v>
      </c>
      <c r="F10" s="9">
        <v>88.8</v>
      </c>
      <c r="G10">
        <f t="shared" si="0"/>
        <v>29.599999999999998</v>
      </c>
      <c r="H10">
        <f t="shared" si="1"/>
        <v>9.8666666666666654</v>
      </c>
    </row>
    <row r="11" spans="1:8" ht="18" customHeight="1">
      <c r="A11" s="31">
        <v>10</v>
      </c>
      <c r="B11" s="7" t="s">
        <v>30</v>
      </c>
      <c r="C11" s="8">
        <v>29</v>
      </c>
      <c r="D11" s="8">
        <v>29.9</v>
      </c>
      <c r="E11" s="8">
        <v>29.8</v>
      </c>
      <c r="F11" s="9">
        <v>88.7</v>
      </c>
      <c r="G11">
        <f t="shared" si="0"/>
        <v>29.566666666666666</v>
      </c>
      <c r="H11">
        <f t="shared" si="1"/>
        <v>9.8555555555555561</v>
      </c>
    </row>
    <row r="12" spans="1:8" ht="18" customHeight="1">
      <c r="A12" s="32">
        <v>11</v>
      </c>
      <c r="B12" s="7" t="s">
        <v>32</v>
      </c>
      <c r="C12" s="8">
        <v>29.5</v>
      </c>
      <c r="D12" s="8">
        <v>29.5</v>
      </c>
      <c r="E12" s="8">
        <v>29.7</v>
      </c>
      <c r="F12" s="9">
        <v>88.7</v>
      </c>
      <c r="G12">
        <f t="shared" si="0"/>
        <v>29.566666666666666</v>
      </c>
      <c r="H12">
        <f t="shared" si="1"/>
        <v>9.8555555555555561</v>
      </c>
    </row>
    <row r="13" spans="1:8" ht="18" customHeight="1">
      <c r="A13" s="6">
        <v>12</v>
      </c>
      <c r="B13" s="7" t="s">
        <v>31</v>
      </c>
      <c r="C13" s="8">
        <v>29.3</v>
      </c>
      <c r="D13" s="8">
        <v>29.6</v>
      </c>
      <c r="E13" s="8">
        <v>29.6</v>
      </c>
      <c r="F13" s="9">
        <v>88.5</v>
      </c>
      <c r="G13">
        <f t="shared" si="0"/>
        <v>29.5</v>
      </c>
      <c r="H13">
        <f t="shared" si="1"/>
        <v>9.8333333333333339</v>
      </c>
    </row>
    <row r="14" spans="1:8" ht="18" customHeight="1">
      <c r="A14" s="6">
        <v>13</v>
      </c>
      <c r="B14" s="7" t="s">
        <v>37</v>
      </c>
      <c r="C14" s="8">
        <v>29.6</v>
      </c>
      <c r="D14" s="8">
        <v>29.1</v>
      </c>
      <c r="E14" s="8">
        <v>29.7</v>
      </c>
      <c r="F14" s="9">
        <v>88.4</v>
      </c>
      <c r="G14">
        <f t="shared" si="0"/>
        <v>29.466666666666669</v>
      </c>
      <c r="H14">
        <f t="shared" si="1"/>
        <v>9.8222222222222229</v>
      </c>
    </row>
    <row r="15" spans="1:8" ht="18" customHeight="1">
      <c r="A15" s="6">
        <v>14</v>
      </c>
      <c r="B15" s="7" t="s">
        <v>33</v>
      </c>
      <c r="C15" s="8">
        <v>29.4</v>
      </c>
      <c r="D15" s="8">
        <v>29.3</v>
      </c>
      <c r="E15" s="8">
        <v>29.5</v>
      </c>
      <c r="F15" s="9">
        <v>88.2</v>
      </c>
      <c r="G15">
        <f t="shared" si="0"/>
        <v>29.400000000000002</v>
      </c>
      <c r="H15">
        <f t="shared" si="1"/>
        <v>9.8000000000000007</v>
      </c>
    </row>
    <row r="16" spans="1:8" ht="18" customHeight="1">
      <c r="A16" s="6">
        <v>15</v>
      </c>
      <c r="B16" s="7" t="s">
        <v>34</v>
      </c>
      <c r="C16" s="8">
        <v>28.9</v>
      </c>
      <c r="D16" s="8">
        <v>29.3</v>
      </c>
      <c r="E16" s="8">
        <v>29.7</v>
      </c>
      <c r="F16" s="9">
        <v>87.9</v>
      </c>
      <c r="G16">
        <f t="shared" si="0"/>
        <v>29.3</v>
      </c>
      <c r="H16">
        <f t="shared" si="1"/>
        <v>9.7666666666666675</v>
      </c>
    </row>
  </sheetData>
  <mergeCells count="2">
    <mergeCell ref="A1:B1"/>
    <mergeCell ref="A11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>
      <selection sqref="A1:XFD1048576"/>
    </sheetView>
  </sheetViews>
  <sheetFormatPr defaultRowHeight="12.75"/>
  <cols>
    <col min="1" max="1" width="3.33203125" customWidth="1"/>
    <col min="2" max="2" width="37.33203125" customWidth="1"/>
    <col min="3" max="3" width="17.83203125" customWidth="1"/>
    <col min="4" max="4" width="18" customWidth="1"/>
    <col min="5" max="6" width="17.83203125" customWidth="1"/>
    <col min="8" max="8" width="12.1640625" customWidth="1"/>
  </cols>
  <sheetData>
    <row r="1" spans="1:8" ht="18" customHeight="1">
      <c r="A1" s="29"/>
      <c r="B1" s="30"/>
      <c r="C1" s="1" t="s">
        <v>20</v>
      </c>
      <c r="D1" s="1" t="s">
        <v>21</v>
      </c>
      <c r="E1" s="1" t="s">
        <v>22</v>
      </c>
      <c r="F1" s="2" t="s">
        <v>23</v>
      </c>
      <c r="H1" s="28" t="s">
        <v>45</v>
      </c>
    </row>
    <row r="2" spans="1:8" ht="18" customHeight="1">
      <c r="A2" s="3">
        <v>1</v>
      </c>
      <c r="B2" s="4" t="s">
        <v>24</v>
      </c>
      <c r="C2" s="5">
        <v>30</v>
      </c>
      <c r="D2" s="5">
        <v>30</v>
      </c>
      <c r="E2" s="5">
        <v>30</v>
      </c>
      <c r="F2" s="5">
        <v>90</v>
      </c>
      <c r="G2">
        <f t="shared" ref="G2:G16" si="0">F2/COUNTIF(C2:E2,"&lt;&gt;0")</f>
        <v>30</v>
      </c>
      <c r="H2">
        <f t="shared" ref="H2:H16" si="1">G2/3</f>
        <v>10</v>
      </c>
    </row>
    <row r="3" spans="1:8" ht="18" customHeight="1">
      <c r="A3" s="6"/>
      <c r="B3" s="7" t="s">
        <v>39</v>
      </c>
      <c r="C3" s="8">
        <v>30</v>
      </c>
      <c r="D3" s="8">
        <v>30</v>
      </c>
      <c r="E3" s="8">
        <v>30</v>
      </c>
      <c r="F3" s="9">
        <v>90</v>
      </c>
      <c r="G3">
        <f t="shared" si="0"/>
        <v>30</v>
      </c>
      <c r="H3">
        <f t="shared" si="1"/>
        <v>10</v>
      </c>
    </row>
    <row r="4" spans="1:8" ht="18" customHeight="1">
      <c r="A4" s="6">
        <v>3</v>
      </c>
      <c r="B4" s="7" t="s">
        <v>32</v>
      </c>
      <c r="C4" s="8">
        <v>30</v>
      </c>
      <c r="D4" s="8">
        <v>29.8</v>
      </c>
      <c r="E4" s="8">
        <v>30</v>
      </c>
      <c r="F4" s="9">
        <v>89.8</v>
      </c>
      <c r="G4">
        <f t="shared" si="0"/>
        <v>29.933333333333334</v>
      </c>
      <c r="H4">
        <f t="shared" si="1"/>
        <v>9.9777777777777779</v>
      </c>
    </row>
    <row r="5" spans="1:8" ht="18" customHeight="1">
      <c r="A5" s="6">
        <v>4</v>
      </c>
      <c r="B5" s="7" t="s">
        <v>28</v>
      </c>
      <c r="C5" s="8">
        <v>29.8</v>
      </c>
      <c r="D5" s="8">
        <v>29.9</v>
      </c>
      <c r="E5" s="8">
        <v>30</v>
      </c>
      <c r="F5" s="9">
        <v>89.7</v>
      </c>
      <c r="G5">
        <f t="shared" si="0"/>
        <v>29.900000000000002</v>
      </c>
      <c r="H5">
        <f t="shared" si="1"/>
        <v>9.9666666666666668</v>
      </c>
    </row>
    <row r="6" spans="1:8" ht="18" customHeight="1">
      <c r="A6" s="6"/>
      <c r="B6" s="7" t="s">
        <v>25</v>
      </c>
      <c r="C6" s="8">
        <v>29.7</v>
      </c>
      <c r="D6" s="8">
        <v>30</v>
      </c>
      <c r="E6" s="8">
        <v>30</v>
      </c>
      <c r="F6" s="9">
        <v>89.7</v>
      </c>
      <c r="G6">
        <f t="shared" si="0"/>
        <v>29.900000000000002</v>
      </c>
      <c r="H6">
        <f t="shared" si="1"/>
        <v>9.9666666666666668</v>
      </c>
    </row>
    <row r="7" spans="1:8" ht="18" customHeight="1">
      <c r="A7" s="6">
        <v>6</v>
      </c>
      <c r="B7" s="7" t="s">
        <v>26</v>
      </c>
      <c r="C7" s="8">
        <v>29.9</v>
      </c>
      <c r="D7" s="8">
        <v>29.7</v>
      </c>
      <c r="E7" s="8">
        <v>29.9</v>
      </c>
      <c r="F7" s="9">
        <v>89.5</v>
      </c>
      <c r="G7">
        <f t="shared" si="0"/>
        <v>29.833333333333332</v>
      </c>
      <c r="H7">
        <f t="shared" si="1"/>
        <v>9.9444444444444446</v>
      </c>
    </row>
    <row r="8" spans="1:8" ht="18" customHeight="1">
      <c r="A8" s="6">
        <v>7</v>
      </c>
      <c r="B8" s="7" t="s">
        <v>29</v>
      </c>
      <c r="C8" s="8">
        <v>30</v>
      </c>
      <c r="D8" s="8">
        <v>29.3</v>
      </c>
      <c r="E8" s="8">
        <v>30</v>
      </c>
      <c r="F8" s="9">
        <v>89.3</v>
      </c>
      <c r="G8">
        <f t="shared" si="0"/>
        <v>29.766666666666666</v>
      </c>
      <c r="H8">
        <f t="shared" si="1"/>
        <v>9.9222222222222225</v>
      </c>
    </row>
    <row r="9" spans="1:8" ht="18" customHeight="1">
      <c r="A9" s="6"/>
      <c r="B9" s="7" t="s">
        <v>31</v>
      </c>
      <c r="C9" s="8">
        <v>29.7</v>
      </c>
      <c r="D9" s="8">
        <v>29.7</v>
      </c>
      <c r="E9" s="8">
        <v>29.9</v>
      </c>
      <c r="F9" s="9">
        <v>89.3</v>
      </c>
      <c r="G9">
        <f t="shared" si="0"/>
        <v>29.766666666666666</v>
      </c>
      <c r="H9">
        <f t="shared" si="1"/>
        <v>9.9222222222222225</v>
      </c>
    </row>
    <row r="10" spans="1:8" ht="18" customHeight="1">
      <c r="A10" s="6">
        <v>9</v>
      </c>
      <c r="B10" s="7" t="s">
        <v>30</v>
      </c>
      <c r="C10" s="8">
        <v>29.5</v>
      </c>
      <c r="D10" s="8">
        <v>29.9</v>
      </c>
      <c r="E10" s="8">
        <v>29.6</v>
      </c>
      <c r="F10" s="9">
        <v>89</v>
      </c>
      <c r="G10">
        <f t="shared" si="0"/>
        <v>29.666666666666668</v>
      </c>
      <c r="H10">
        <f t="shared" si="1"/>
        <v>9.8888888888888893</v>
      </c>
    </row>
    <row r="11" spans="1:8" ht="18" customHeight="1">
      <c r="A11" s="31"/>
      <c r="B11" s="7" t="s">
        <v>36</v>
      </c>
      <c r="C11" s="8">
        <v>29.7</v>
      </c>
      <c r="D11" s="8">
        <v>29.7</v>
      </c>
      <c r="E11" s="8">
        <v>29.6</v>
      </c>
      <c r="F11" s="9">
        <v>89</v>
      </c>
      <c r="G11">
        <f t="shared" si="0"/>
        <v>29.666666666666668</v>
      </c>
      <c r="H11">
        <f t="shared" si="1"/>
        <v>9.8888888888888893</v>
      </c>
    </row>
    <row r="12" spans="1:8" ht="18" customHeight="1">
      <c r="A12" s="32">
        <v>11</v>
      </c>
      <c r="B12" s="7" t="s">
        <v>35</v>
      </c>
      <c r="C12" s="8">
        <v>29.2</v>
      </c>
      <c r="D12" s="8">
        <v>29.7</v>
      </c>
      <c r="E12" s="8">
        <v>29.9</v>
      </c>
      <c r="F12" s="9">
        <v>88.8</v>
      </c>
      <c r="G12">
        <f t="shared" si="0"/>
        <v>29.599999999999998</v>
      </c>
      <c r="H12">
        <f t="shared" si="1"/>
        <v>9.8666666666666654</v>
      </c>
    </row>
    <row r="13" spans="1:8" ht="18" customHeight="1">
      <c r="A13" s="6"/>
      <c r="B13" s="7" t="s">
        <v>33</v>
      </c>
      <c r="C13" s="8">
        <v>29.8</v>
      </c>
      <c r="D13" s="8">
        <v>29.3</v>
      </c>
      <c r="E13" s="8">
        <v>29.7</v>
      </c>
      <c r="F13" s="9">
        <v>88.8</v>
      </c>
      <c r="G13">
        <f t="shared" si="0"/>
        <v>29.599999999999998</v>
      </c>
      <c r="H13">
        <f t="shared" si="1"/>
        <v>9.8666666666666654</v>
      </c>
    </row>
    <row r="14" spans="1:8" ht="18" customHeight="1">
      <c r="A14" s="6">
        <v>13</v>
      </c>
      <c r="B14" s="7" t="s">
        <v>34</v>
      </c>
      <c r="C14" s="8">
        <v>29.2</v>
      </c>
      <c r="D14" s="8">
        <v>29.3</v>
      </c>
      <c r="E14" s="8">
        <v>29.6</v>
      </c>
      <c r="F14" s="9">
        <v>88.1</v>
      </c>
      <c r="G14">
        <f t="shared" si="0"/>
        <v>29.366666666666664</v>
      </c>
      <c r="H14">
        <f t="shared" si="1"/>
        <v>9.7888888888888879</v>
      </c>
    </row>
    <row r="15" spans="1:8" ht="18" customHeight="1">
      <c r="A15" s="6">
        <v>14</v>
      </c>
      <c r="B15" s="7" t="s">
        <v>37</v>
      </c>
      <c r="C15" s="8">
        <v>28.8</v>
      </c>
      <c r="D15" s="8">
        <v>29.1</v>
      </c>
      <c r="E15" s="8">
        <v>29.5</v>
      </c>
      <c r="F15" s="9">
        <v>87.4</v>
      </c>
      <c r="G15">
        <f t="shared" si="0"/>
        <v>29.133333333333336</v>
      </c>
      <c r="H15">
        <f t="shared" si="1"/>
        <v>9.7111111111111121</v>
      </c>
    </row>
    <row r="16" spans="1:8" ht="18" customHeight="1">
      <c r="A16" s="6">
        <v>15</v>
      </c>
      <c r="B16" s="7" t="s">
        <v>38</v>
      </c>
      <c r="C16" s="8">
        <v>28.8</v>
      </c>
      <c r="D16" s="8">
        <v>28.9</v>
      </c>
      <c r="E16" s="8">
        <v>29.5</v>
      </c>
      <c r="F16" s="9">
        <v>87.2</v>
      </c>
      <c r="G16">
        <f t="shared" si="0"/>
        <v>29.066666666666666</v>
      </c>
      <c r="H16">
        <f t="shared" si="1"/>
        <v>9.6888888888888882</v>
      </c>
    </row>
  </sheetData>
  <mergeCells count="2">
    <mergeCell ref="A1:B1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sqref="A1:XFD1048576"/>
    </sheetView>
  </sheetViews>
  <sheetFormatPr defaultRowHeight="12.75"/>
  <cols>
    <col min="1" max="1" width="3.33203125" customWidth="1"/>
    <col min="2" max="2" width="37.33203125" customWidth="1"/>
    <col min="3" max="3" width="17.83203125" customWidth="1"/>
    <col min="4" max="4" width="18" customWidth="1"/>
    <col min="5" max="6" width="17.83203125" customWidth="1"/>
    <col min="8" max="8" width="12.1640625" customWidth="1"/>
  </cols>
  <sheetData>
    <row r="1" spans="1:8" ht="18" customHeight="1">
      <c r="A1" s="29"/>
      <c r="B1" s="30"/>
      <c r="C1" s="1" t="s">
        <v>20</v>
      </c>
      <c r="D1" s="1" t="s">
        <v>21</v>
      </c>
      <c r="E1" s="1" t="s">
        <v>22</v>
      </c>
      <c r="F1" s="2" t="s">
        <v>23</v>
      </c>
      <c r="H1" s="28" t="s">
        <v>45</v>
      </c>
    </row>
    <row r="2" spans="1:8" ht="18" customHeight="1">
      <c r="A2" s="3">
        <v>1</v>
      </c>
      <c r="B2" s="4" t="s">
        <v>41</v>
      </c>
      <c r="C2" s="5">
        <v>30</v>
      </c>
      <c r="D2" s="5">
        <v>30</v>
      </c>
      <c r="E2" s="5">
        <v>30</v>
      </c>
      <c r="F2" s="5">
        <v>90</v>
      </c>
      <c r="G2">
        <f t="shared" ref="G2:G16" si="0">F2/COUNTIF(C2:E2,"&lt;&gt;0")</f>
        <v>30</v>
      </c>
      <c r="H2">
        <f t="shared" ref="H2:H16" si="1">G2/3</f>
        <v>10</v>
      </c>
    </row>
    <row r="3" spans="1:8" ht="18" customHeight="1">
      <c r="A3" s="6"/>
      <c r="B3" s="7" t="s">
        <v>24</v>
      </c>
      <c r="C3" s="8">
        <v>30</v>
      </c>
      <c r="D3" s="8">
        <v>30</v>
      </c>
      <c r="E3" s="8">
        <v>30</v>
      </c>
      <c r="F3" s="9">
        <v>90</v>
      </c>
      <c r="G3">
        <f t="shared" si="0"/>
        <v>30</v>
      </c>
      <c r="H3">
        <f t="shared" si="1"/>
        <v>10</v>
      </c>
    </row>
    <row r="4" spans="1:8" ht="18" customHeight="1">
      <c r="A4" s="6">
        <v>3</v>
      </c>
      <c r="B4" s="7" t="s">
        <v>25</v>
      </c>
      <c r="C4" s="8">
        <v>29.9</v>
      </c>
      <c r="D4" s="8">
        <v>30</v>
      </c>
      <c r="E4" s="8">
        <v>30</v>
      </c>
      <c r="F4" s="9">
        <v>89.9</v>
      </c>
      <c r="G4">
        <f t="shared" si="0"/>
        <v>29.966666666666669</v>
      </c>
      <c r="H4">
        <f t="shared" si="1"/>
        <v>9.9888888888888889</v>
      </c>
    </row>
    <row r="5" spans="1:8" ht="18" customHeight="1">
      <c r="A5" s="6"/>
      <c r="B5" s="7" t="s">
        <v>34</v>
      </c>
      <c r="C5" s="8">
        <v>30</v>
      </c>
      <c r="D5" s="8">
        <v>30</v>
      </c>
      <c r="E5" s="8">
        <v>29.9</v>
      </c>
      <c r="F5" s="9">
        <v>89.9</v>
      </c>
      <c r="G5">
        <f t="shared" si="0"/>
        <v>29.966666666666669</v>
      </c>
      <c r="H5">
        <f t="shared" si="1"/>
        <v>9.9888888888888889</v>
      </c>
    </row>
    <row r="6" spans="1:8" ht="18" customHeight="1">
      <c r="A6" s="6"/>
      <c r="B6" s="7" t="s">
        <v>27</v>
      </c>
      <c r="C6" s="8">
        <v>30</v>
      </c>
      <c r="D6" s="8">
        <v>30</v>
      </c>
      <c r="E6" s="8">
        <v>29.9</v>
      </c>
      <c r="F6" s="9">
        <v>89.9</v>
      </c>
      <c r="G6">
        <f t="shared" si="0"/>
        <v>29.966666666666669</v>
      </c>
      <c r="H6">
        <f t="shared" si="1"/>
        <v>9.9888888888888889</v>
      </c>
    </row>
    <row r="7" spans="1:8" ht="18" customHeight="1">
      <c r="A7" s="6">
        <v>6</v>
      </c>
      <c r="B7" s="7" t="s">
        <v>29</v>
      </c>
      <c r="C7" s="8">
        <v>29.9</v>
      </c>
      <c r="D7" s="8">
        <v>29.9</v>
      </c>
      <c r="E7" s="8">
        <v>30</v>
      </c>
      <c r="F7" s="9">
        <v>89.8</v>
      </c>
      <c r="G7">
        <f t="shared" si="0"/>
        <v>29.933333333333334</v>
      </c>
      <c r="H7">
        <f t="shared" si="1"/>
        <v>9.9777777777777779</v>
      </c>
    </row>
    <row r="8" spans="1:8" ht="18" customHeight="1">
      <c r="A8" s="6">
        <v>7</v>
      </c>
      <c r="B8" s="7" t="s">
        <v>36</v>
      </c>
      <c r="C8" s="8">
        <v>29.9</v>
      </c>
      <c r="D8" s="8">
        <v>29.9</v>
      </c>
      <c r="E8" s="8">
        <v>29.8</v>
      </c>
      <c r="F8" s="9">
        <v>89.6</v>
      </c>
      <c r="G8">
        <f t="shared" si="0"/>
        <v>29.866666666666664</v>
      </c>
      <c r="H8">
        <f t="shared" si="1"/>
        <v>9.9555555555555539</v>
      </c>
    </row>
    <row r="9" spans="1:8" ht="18" customHeight="1">
      <c r="A9" s="6"/>
      <c r="B9" s="7" t="s">
        <v>31</v>
      </c>
      <c r="C9" s="8">
        <v>29.8</v>
      </c>
      <c r="D9" s="8">
        <v>29.8</v>
      </c>
      <c r="E9" s="8">
        <v>30</v>
      </c>
      <c r="F9" s="9">
        <v>89.6</v>
      </c>
      <c r="G9">
        <f t="shared" si="0"/>
        <v>29.866666666666664</v>
      </c>
      <c r="H9">
        <f t="shared" si="1"/>
        <v>9.9555555555555539</v>
      </c>
    </row>
    <row r="10" spans="1:8" ht="18" customHeight="1">
      <c r="A10" s="6"/>
      <c r="B10" s="7" t="s">
        <v>26</v>
      </c>
      <c r="C10" s="8">
        <v>29.6</v>
      </c>
      <c r="D10" s="8">
        <v>30</v>
      </c>
      <c r="E10" s="8">
        <v>30</v>
      </c>
      <c r="F10" s="9">
        <v>89.6</v>
      </c>
      <c r="G10">
        <f t="shared" si="0"/>
        <v>29.866666666666664</v>
      </c>
      <c r="H10">
        <f t="shared" si="1"/>
        <v>9.9555555555555539</v>
      </c>
    </row>
    <row r="11" spans="1:8" ht="18" customHeight="1">
      <c r="A11" s="31">
        <v>10</v>
      </c>
      <c r="B11" s="7" t="s">
        <v>28</v>
      </c>
      <c r="C11" s="8">
        <v>29.8</v>
      </c>
      <c r="D11" s="8">
        <v>30</v>
      </c>
      <c r="E11" s="8">
        <v>29.6</v>
      </c>
      <c r="F11" s="9">
        <v>89.4</v>
      </c>
      <c r="G11">
        <f t="shared" si="0"/>
        <v>29.8</v>
      </c>
      <c r="H11">
        <f t="shared" si="1"/>
        <v>9.9333333333333336</v>
      </c>
    </row>
    <row r="12" spans="1:8" ht="18" customHeight="1">
      <c r="A12" s="32"/>
      <c r="B12" s="7" t="s">
        <v>38</v>
      </c>
      <c r="C12" s="8">
        <v>29.9</v>
      </c>
      <c r="D12" s="8">
        <v>29.7</v>
      </c>
      <c r="E12" s="8">
        <v>29.8</v>
      </c>
      <c r="F12" s="9">
        <v>89.4</v>
      </c>
      <c r="G12">
        <f t="shared" si="0"/>
        <v>29.8</v>
      </c>
      <c r="H12">
        <f t="shared" si="1"/>
        <v>9.9333333333333336</v>
      </c>
    </row>
    <row r="13" spans="1:8" ht="18" customHeight="1">
      <c r="A13" s="6"/>
      <c r="B13" s="7" t="s">
        <v>37</v>
      </c>
      <c r="C13" s="8">
        <v>30</v>
      </c>
      <c r="D13" s="8">
        <v>29.4</v>
      </c>
      <c r="E13" s="8">
        <v>30</v>
      </c>
      <c r="F13" s="9">
        <v>89.4</v>
      </c>
      <c r="G13">
        <f t="shared" si="0"/>
        <v>29.8</v>
      </c>
      <c r="H13">
        <f t="shared" si="1"/>
        <v>9.9333333333333336</v>
      </c>
    </row>
    <row r="14" spans="1:8" ht="18" customHeight="1">
      <c r="A14" s="6">
        <v>13</v>
      </c>
      <c r="B14" s="7" t="s">
        <v>33</v>
      </c>
      <c r="C14" s="8">
        <v>29.9</v>
      </c>
      <c r="D14" s="8">
        <v>29.8</v>
      </c>
      <c r="E14" s="8">
        <v>29.5</v>
      </c>
      <c r="F14" s="9">
        <v>89.2</v>
      </c>
      <c r="G14">
        <f t="shared" si="0"/>
        <v>29.733333333333334</v>
      </c>
      <c r="H14">
        <f t="shared" si="1"/>
        <v>9.9111111111111114</v>
      </c>
    </row>
    <row r="15" spans="1:8" ht="18" customHeight="1">
      <c r="A15" s="6"/>
      <c r="B15" s="7" t="s">
        <v>32</v>
      </c>
      <c r="C15" s="8">
        <v>29.9</v>
      </c>
      <c r="D15" s="8">
        <v>29.5</v>
      </c>
      <c r="E15" s="8">
        <v>29.8</v>
      </c>
      <c r="F15" s="9">
        <v>89.2</v>
      </c>
      <c r="G15">
        <f t="shared" si="0"/>
        <v>29.733333333333334</v>
      </c>
      <c r="H15">
        <f t="shared" si="1"/>
        <v>9.9111111111111114</v>
      </c>
    </row>
    <row r="16" spans="1:8" ht="18" customHeight="1">
      <c r="A16" s="6">
        <v>15</v>
      </c>
      <c r="B16" s="7" t="s">
        <v>35</v>
      </c>
      <c r="C16" s="8">
        <v>29.3</v>
      </c>
      <c r="D16" s="8">
        <v>30</v>
      </c>
      <c r="E16" s="8">
        <v>29.6</v>
      </c>
      <c r="F16" s="9">
        <v>88.9</v>
      </c>
      <c r="G16">
        <f t="shared" si="0"/>
        <v>29.633333333333336</v>
      </c>
      <c r="H16">
        <f t="shared" si="1"/>
        <v>9.8777777777777782</v>
      </c>
    </row>
  </sheetData>
  <mergeCells count="2">
    <mergeCell ref="A1:B1"/>
    <mergeCell ref="A11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>
      <selection sqref="A1:XFD1048576"/>
    </sheetView>
  </sheetViews>
  <sheetFormatPr defaultRowHeight="12.75"/>
  <cols>
    <col min="1" max="1" width="3.33203125" customWidth="1"/>
    <col min="2" max="2" width="37.33203125" customWidth="1"/>
    <col min="3" max="3" width="17.83203125" customWidth="1"/>
    <col min="4" max="4" width="18" customWidth="1"/>
    <col min="5" max="6" width="17.83203125" customWidth="1"/>
    <col min="8" max="8" width="12.1640625" customWidth="1"/>
  </cols>
  <sheetData>
    <row r="1" spans="1:8" ht="18" customHeight="1">
      <c r="A1" s="29"/>
      <c r="B1" s="30"/>
      <c r="C1" s="1" t="s">
        <v>20</v>
      </c>
      <c r="D1" s="1" t="s">
        <v>21</v>
      </c>
      <c r="E1" s="1" t="s">
        <v>22</v>
      </c>
      <c r="F1" s="2" t="s">
        <v>23</v>
      </c>
      <c r="H1" s="28" t="s">
        <v>45</v>
      </c>
    </row>
    <row r="2" spans="1:8" ht="18" customHeight="1">
      <c r="A2" s="3">
        <v>1</v>
      </c>
      <c r="B2" s="4" t="s">
        <v>42</v>
      </c>
      <c r="C2" s="5">
        <v>30</v>
      </c>
      <c r="D2" s="5">
        <v>30</v>
      </c>
      <c r="E2" s="5">
        <v>30</v>
      </c>
      <c r="F2" s="5">
        <v>90</v>
      </c>
      <c r="G2">
        <f t="shared" ref="G2:G16" si="0">F2/COUNTIF(C2:E2,"&lt;&gt;0")</f>
        <v>30</v>
      </c>
      <c r="H2">
        <f t="shared" ref="H2:H16" si="1">G2/3</f>
        <v>10</v>
      </c>
    </row>
    <row r="3" spans="1:8" ht="18" customHeight="1">
      <c r="A3" s="6">
        <v>2</v>
      </c>
      <c r="B3" s="7" t="s">
        <v>40</v>
      </c>
      <c r="C3" s="8">
        <v>30</v>
      </c>
      <c r="D3" s="8">
        <v>30</v>
      </c>
      <c r="E3" s="8">
        <v>29.8</v>
      </c>
      <c r="F3" s="9">
        <v>89.8</v>
      </c>
      <c r="G3">
        <f t="shared" si="0"/>
        <v>29.933333333333334</v>
      </c>
      <c r="H3">
        <f t="shared" si="1"/>
        <v>9.9777777777777779</v>
      </c>
    </row>
    <row r="4" spans="1:8" ht="18" customHeight="1">
      <c r="A4" s="6">
        <v>3</v>
      </c>
      <c r="B4" s="7" t="s">
        <v>31</v>
      </c>
      <c r="C4" s="8">
        <v>30</v>
      </c>
      <c r="D4" s="8">
        <v>30</v>
      </c>
      <c r="E4" s="8">
        <v>29.7</v>
      </c>
      <c r="F4" s="9">
        <v>89.7</v>
      </c>
      <c r="G4">
        <f t="shared" si="0"/>
        <v>29.900000000000002</v>
      </c>
      <c r="H4">
        <f t="shared" si="1"/>
        <v>9.9666666666666668</v>
      </c>
    </row>
    <row r="5" spans="1:8" ht="18" customHeight="1">
      <c r="A5" s="6">
        <v>4</v>
      </c>
      <c r="B5" s="7" t="s">
        <v>27</v>
      </c>
      <c r="C5" s="8">
        <v>30</v>
      </c>
      <c r="D5" s="8">
        <v>29.7</v>
      </c>
      <c r="E5" s="8">
        <v>29.8</v>
      </c>
      <c r="F5" s="9">
        <v>89.5</v>
      </c>
      <c r="G5">
        <f t="shared" si="0"/>
        <v>29.833333333333332</v>
      </c>
      <c r="H5">
        <f t="shared" si="1"/>
        <v>9.9444444444444446</v>
      </c>
    </row>
    <row r="6" spans="1:8" ht="18" customHeight="1">
      <c r="A6" s="6">
        <v>5</v>
      </c>
      <c r="B6" s="7" t="s">
        <v>33</v>
      </c>
      <c r="C6" s="8">
        <v>29.9</v>
      </c>
      <c r="D6" s="8">
        <v>29.7</v>
      </c>
      <c r="E6" s="8">
        <v>29.9</v>
      </c>
      <c r="F6" s="9">
        <v>89.5</v>
      </c>
      <c r="G6">
        <f t="shared" si="0"/>
        <v>29.833333333333332</v>
      </c>
      <c r="H6">
        <f t="shared" si="1"/>
        <v>9.9444444444444446</v>
      </c>
    </row>
    <row r="7" spans="1:8" ht="18" customHeight="1">
      <c r="A7" s="6">
        <v>6</v>
      </c>
      <c r="B7" s="7" t="s">
        <v>30</v>
      </c>
      <c r="C7" s="8">
        <v>29.6</v>
      </c>
      <c r="D7" s="8">
        <v>30</v>
      </c>
      <c r="E7" s="8">
        <v>29.8</v>
      </c>
      <c r="F7" s="9">
        <v>89.4</v>
      </c>
      <c r="G7">
        <f t="shared" si="0"/>
        <v>29.8</v>
      </c>
      <c r="H7">
        <f t="shared" si="1"/>
        <v>9.9333333333333336</v>
      </c>
    </row>
    <row r="8" spans="1:8" ht="18" customHeight="1">
      <c r="A8" s="6">
        <v>7</v>
      </c>
      <c r="B8" s="7" t="s">
        <v>29</v>
      </c>
      <c r="C8" s="8">
        <v>30</v>
      </c>
      <c r="D8" s="8">
        <v>29.3</v>
      </c>
      <c r="E8" s="8">
        <v>30</v>
      </c>
      <c r="F8" s="9">
        <v>89.3</v>
      </c>
      <c r="G8">
        <f t="shared" si="0"/>
        <v>29.766666666666666</v>
      </c>
      <c r="H8">
        <f t="shared" si="1"/>
        <v>9.9222222222222225</v>
      </c>
    </row>
    <row r="9" spans="1:8" ht="18" customHeight="1">
      <c r="A9" s="6">
        <v>8</v>
      </c>
      <c r="B9" s="7" t="s">
        <v>26</v>
      </c>
      <c r="C9" s="8">
        <v>30</v>
      </c>
      <c r="D9" s="8">
        <v>29.4</v>
      </c>
      <c r="E9" s="8">
        <v>29.6</v>
      </c>
      <c r="F9" s="9">
        <v>89</v>
      </c>
      <c r="G9">
        <f t="shared" si="0"/>
        <v>29.666666666666668</v>
      </c>
      <c r="H9">
        <f t="shared" si="1"/>
        <v>9.8888888888888893</v>
      </c>
    </row>
    <row r="10" spans="1:8" ht="18" customHeight="1">
      <c r="A10" s="6">
        <v>9</v>
      </c>
      <c r="B10" s="7" t="s">
        <v>32</v>
      </c>
      <c r="C10" s="8">
        <v>29.8</v>
      </c>
      <c r="D10" s="8">
        <v>29.4</v>
      </c>
      <c r="E10" s="8">
        <v>29.7</v>
      </c>
      <c r="F10" s="9">
        <v>88.9</v>
      </c>
      <c r="G10">
        <f t="shared" si="0"/>
        <v>29.633333333333336</v>
      </c>
      <c r="H10">
        <f t="shared" si="1"/>
        <v>9.8777777777777782</v>
      </c>
    </row>
    <row r="11" spans="1:8" ht="18" customHeight="1">
      <c r="A11" s="31">
        <v>10</v>
      </c>
      <c r="B11" s="7" t="s">
        <v>35</v>
      </c>
      <c r="C11" s="8">
        <v>29.3</v>
      </c>
      <c r="D11" s="8">
        <v>29.6</v>
      </c>
      <c r="E11" s="8">
        <v>30</v>
      </c>
      <c r="F11" s="9">
        <v>88.9</v>
      </c>
      <c r="G11">
        <f t="shared" si="0"/>
        <v>29.633333333333336</v>
      </c>
      <c r="H11">
        <f t="shared" si="1"/>
        <v>9.8777777777777782</v>
      </c>
    </row>
    <row r="12" spans="1:8" ht="18" customHeight="1">
      <c r="A12" s="32">
        <v>11</v>
      </c>
      <c r="B12" s="7" t="s">
        <v>28</v>
      </c>
      <c r="C12" s="8">
        <v>29.7</v>
      </c>
      <c r="D12" s="8">
        <v>29.5</v>
      </c>
      <c r="E12" s="8">
        <v>29.6</v>
      </c>
      <c r="F12" s="9">
        <v>88.8</v>
      </c>
      <c r="G12">
        <f t="shared" si="0"/>
        <v>29.599999999999998</v>
      </c>
      <c r="H12">
        <f t="shared" si="1"/>
        <v>9.8666666666666654</v>
      </c>
    </row>
    <row r="13" spans="1:8" ht="18" customHeight="1">
      <c r="A13" s="6">
        <v>12</v>
      </c>
      <c r="B13" s="7" t="s">
        <v>37</v>
      </c>
      <c r="C13" s="8">
        <v>28.9</v>
      </c>
      <c r="D13" s="8">
        <v>29.7</v>
      </c>
      <c r="E13" s="8">
        <v>29.7</v>
      </c>
      <c r="F13" s="9">
        <v>88.3</v>
      </c>
      <c r="G13">
        <f t="shared" si="0"/>
        <v>29.433333333333334</v>
      </c>
      <c r="H13">
        <f t="shared" si="1"/>
        <v>9.8111111111111118</v>
      </c>
    </row>
    <row r="14" spans="1:8" ht="18" customHeight="1">
      <c r="A14" s="6">
        <v>13</v>
      </c>
      <c r="B14" s="7" t="s">
        <v>36</v>
      </c>
      <c r="C14" s="8">
        <v>29.4</v>
      </c>
      <c r="D14" s="8">
        <v>29.4</v>
      </c>
      <c r="E14" s="8">
        <v>29.4</v>
      </c>
      <c r="F14" s="9">
        <v>88.2</v>
      </c>
      <c r="G14">
        <f t="shared" si="0"/>
        <v>29.400000000000002</v>
      </c>
      <c r="H14">
        <f t="shared" si="1"/>
        <v>9.8000000000000007</v>
      </c>
    </row>
    <row r="15" spans="1:8" ht="18" customHeight="1">
      <c r="A15" s="6">
        <v>14</v>
      </c>
      <c r="B15" s="7" t="s">
        <v>38</v>
      </c>
      <c r="C15" s="8">
        <v>29</v>
      </c>
      <c r="D15" s="8">
        <v>29</v>
      </c>
      <c r="E15" s="8">
        <v>29.7</v>
      </c>
      <c r="F15" s="9">
        <v>87.7</v>
      </c>
      <c r="G15">
        <f t="shared" si="0"/>
        <v>29.233333333333334</v>
      </c>
      <c r="H15">
        <f t="shared" si="1"/>
        <v>9.7444444444444454</v>
      </c>
    </row>
    <row r="16" spans="1:8" ht="18" customHeight="1">
      <c r="A16" s="6">
        <v>15</v>
      </c>
      <c r="B16" s="7" t="s">
        <v>34</v>
      </c>
      <c r="C16" s="8">
        <v>28.9</v>
      </c>
      <c r="D16" s="8">
        <v>29.1</v>
      </c>
      <c r="E16" s="8">
        <v>29.6</v>
      </c>
      <c r="F16" s="9">
        <v>87.6</v>
      </c>
      <c r="G16">
        <f t="shared" si="0"/>
        <v>29.2</v>
      </c>
      <c r="H16">
        <f t="shared" si="1"/>
        <v>9.7333333333333325</v>
      </c>
    </row>
  </sheetData>
  <mergeCells count="2">
    <mergeCell ref="A1:B1"/>
    <mergeCell ref="A11:A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>
      <selection activeCell="H2" sqref="H2"/>
    </sheetView>
  </sheetViews>
  <sheetFormatPr defaultRowHeight="12.75"/>
  <cols>
    <col min="1" max="1" width="3.33203125" customWidth="1"/>
    <col min="2" max="2" width="37.33203125" customWidth="1"/>
    <col min="3" max="3" width="17.83203125" customWidth="1"/>
    <col min="4" max="4" width="18" customWidth="1"/>
    <col min="5" max="6" width="17.83203125" customWidth="1"/>
    <col min="8" max="8" width="12.1640625" customWidth="1"/>
  </cols>
  <sheetData>
    <row r="1" spans="1:8" ht="18" customHeight="1">
      <c r="A1" s="29"/>
      <c r="B1" s="30"/>
      <c r="C1" s="1" t="s">
        <v>20</v>
      </c>
      <c r="D1" s="1" t="s">
        <v>21</v>
      </c>
      <c r="E1" s="1" t="s">
        <v>22</v>
      </c>
      <c r="F1" s="2" t="s">
        <v>23</v>
      </c>
      <c r="H1" s="28" t="s">
        <v>45</v>
      </c>
    </row>
    <row r="2" spans="1:8" ht="18" customHeight="1">
      <c r="A2" s="3">
        <v>1</v>
      </c>
      <c r="B2" s="4" t="s">
        <v>43</v>
      </c>
      <c r="C2" s="5">
        <v>30</v>
      </c>
      <c r="D2" s="5">
        <v>30</v>
      </c>
      <c r="E2" s="5">
        <v>30</v>
      </c>
      <c r="F2" s="5">
        <f>SUM(C2:E2)</f>
        <v>90</v>
      </c>
      <c r="G2">
        <f t="shared" ref="G2:G16" si="0">F2/COUNTIF(C2:E2,"&lt;&gt;0")</f>
        <v>30</v>
      </c>
      <c r="H2">
        <f t="shared" ref="H2:H16" si="1">G2/3</f>
        <v>10</v>
      </c>
    </row>
    <row r="3" spans="1:8" ht="18" customHeight="1">
      <c r="A3" s="6"/>
      <c r="B3" s="7" t="s">
        <v>42</v>
      </c>
      <c r="C3" s="8">
        <v>30</v>
      </c>
      <c r="D3" s="8">
        <v>30</v>
      </c>
      <c r="E3" s="8">
        <v>30</v>
      </c>
      <c r="F3" s="5">
        <f t="shared" ref="F3:F16" si="2">SUM(C3:E3)</f>
        <v>90</v>
      </c>
      <c r="G3">
        <f t="shared" si="0"/>
        <v>30</v>
      </c>
      <c r="H3">
        <f t="shared" si="1"/>
        <v>10</v>
      </c>
    </row>
    <row r="4" spans="1:8" ht="18" customHeight="1">
      <c r="A4" s="6"/>
      <c r="B4" s="7" t="s">
        <v>24</v>
      </c>
      <c r="C4" s="8">
        <v>30</v>
      </c>
      <c r="D4" s="8">
        <v>30</v>
      </c>
      <c r="E4" s="8">
        <v>30</v>
      </c>
      <c r="F4" s="5">
        <f t="shared" si="2"/>
        <v>90</v>
      </c>
      <c r="G4">
        <f t="shared" si="0"/>
        <v>30</v>
      </c>
      <c r="H4">
        <f t="shared" si="1"/>
        <v>10</v>
      </c>
    </row>
    <row r="5" spans="1:8" ht="18" customHeight="1">
      <c r="A5" s="6"/>
      <c r="B5" s="7" t="s">
        <v>44</v>
      </c>
      <c r="C5" s="8">
        <v>30</v>
      </c>
      <c r="D5" s="8">
        <v>30</v>
      </c>
      <c r="E5" s="8">
        <v>30</v>
      </c>
      <c r="F5" s="5">
        <f t="shared" si="2"/>
        <v>90</v>
      </c>
      <c r="G5">
        <f t="shared" si="0"/>
        <v>30</v>
      </c>
      <c r="H5">
        <f t="shared" si="1"/>
        <v>10</v>
      </c>
    </row>
    <row r="6" spans="1:8" ht="18" customHeight="1">
      <c r="A6" s="6"/>
      <c r="B6" s="7" t="s">
        <v>39</v>
      </c>
      <c r="C6" s="8">
        <v>30</v>
      </c>
      <c r="D6" s="8">
        <v>30</v>
      </c>
      <c r="E6" s="8">
        <v>30</v>
      </c>
      <c r="F6" s="5">
        <f t="shared" si="2"/>
        <v>90</v>
      </c>
      <c r="G6">
        <f t="shared" si="0"/>
        <v>30</v>
      </c>
      <c r="H6">
        <f t="shared" si="1"/>
        <v>10</v>
      </c>
    </row>
    <row r="7" spans="1:8" ht="18" customHeight="1">
      <c r="A7" s="6">
        <v>6</v>
      </c>
      <c r="B7" s="7" t="s">
        <v>30</v>
      </c>
      <c r="C7" s="8">
        <v>29.9</v>
      </c>
      <c r="D7" s="8">
        <v>30</v>
      </c>
      <c r="E7" s="8">
        <v>30</v>
      </c>
      <c r="F7" s="5">
        <f t="shared" si="2"/>
        <v>89.9</v>
      </c>
      <c r="G7">
        <f t="shared" si="0"/>
        <v>29.966666666666669</v>
      </c>
      <c r="H7">
        <f t="shared" si="1"/>
        <v>9.9888888888888889</v>
      </c>
    </row>
    <row r="8" spans="1:8" ht="18" customHeight="1">
      <c r="A8" s="6"/>
      <c r="B8" s="7" t="s">
        <v>33</v>
      </c>
      <c r="C8" s="8">
        <v>29.9</v>
      </c>
      <c r="D8" s="8">
        <v>30</v>
      </c>
      <c r="E8" s="8">
        <v>30</v>
      </c>
      <c r="F8" s="5">
        <f t="shared" si="2"/>
        <v>89.9</v>
      </c>
      <c r="G8">
        <f t="shared" si="0"/>
        <v>29.966666666666669</v>
      </c>
      <c r="H8">
        <f t="shared" si="1"/>
        <v>9.9888888888888889</v>
      </c>
    </row>
    <row r="9" spans="1:8" ht="18" customHeight="1">
      <c r="A9" s="6"/>
      <c r="B9" s="7" t="s">
        <v>35</v>
      </c>
      <c r="C9" s="8">
        <v>30</v>
      </c>
      <c r="D9" s="8">
        <v>29.9</v>
      </c>
      <c r="E9" s="8">
        <v>30</v>
      </c>
      <c r="F9" s="5">
        <f t="shared" si="2"/>
        <v>89.9</v>
      </c>
      <c r="G9">
        <f t="shared" si="0"/>
        <v>29.966666666666669</v>
      </c>
      <c r="H9">
        <f t="shared" si="1"/>
        <v>9.9888888888888889</v>
      </c>
    </row>
    <row r="10" spans="1:8" ht="18" customHeight="1">
      <c r="A10" s="6"/>
      <c r="B10" s="7" t="s">
        <v>29</v>
      </c>
      <c r="C10" s="8">
        <v>29.9</v>
      </c>
      <c r="D10" s="8">
        <v>30</v>
      </c>
      <c r="E10" s="8">
        <v>30</v>
      </c>
      <c r="F10" s="5">
        <f t="shared" si="2"/>
        <v>89.9</v>
      </c>
      <c r="G10">
        <f t="shared" si="0"/>
        <v>29.966666666666669</v>
      </c>
      <c r="H10">
        <f t="shared" si="1"/>
        <v>9.9888888888888889</v>
      </c>
    </row>
    <row r="11" spans="1:8" ht="18" customHeight="1">
      <c r="A11" s="31"/>
      <c r="B11" s="7" t="s">
        <v>32</v>
      </c>
      <c r="C11" s="8">
        <v>30</v>
      </c>
      <c r="D11" s="8">
        <v>29.9</v>
      </c>
      <c r="E11" s="8">
        <v>30</v>
      </c>
      <c r="F11" s="5">
        <f t="shared" si="2"/>
        <v>89.9</v>
      </c>
      <c r="G11">
        <f t="shared" si="0"/>
        <v>29.966666666666669</v>
      </c>
      <c r="H11">
        <f t="shared" si="1"/>
        <v>9.9888888888888889</v>
      </c>
    </row>
    <row r="12" spans="1:8" ht="18" customHeight="1">
      <c r="A12" s="32">
        <v>11</v>
      </c>
      <c r="B12" s="7" t="s">
        <v>31</v>
      </c>
      <c r="C12" s="8">
        <v>29.8</v>
      </c>
      <c r="D12" s="8">
        <v>30</v>
      </c>
      <c r="E12" s="8">
        <v>30</v>
      </c>
      <c r="F12" s="5">
        <f t="shared" si="2"/>
        <v>89.8</v>
      </c>
      <c r="G12">
        <f t="shared" si="0"/>
        <v>29.933333333333334</v>
      </c>
      <c r="H12">
        <f t="shared" si="1"/>
        <v>9.9777777777777779</v>
      </c>
    </row>
    <row r="13" spans="1:8" ht="18" customHeight="1">
      <c r="A13" s="6">
        <v>12</v>
      </c>
      <c r="B13" s="7" t="s">
        <v>37</v>
      </c>
      <c r="C13" s="8">
        <v>29.9</v>
      </c>
      <c r="D13" s="8">
        <v>29.8</v>
      </c>
      <c r="E13" s="8">
        <v>30</v>
      </c>
      <c r="F13" s="5">
        <f t="shared" si="2"/>
        <v>89.7</v>
      </c>
      <c r="G13">
        <f t="shared" si="0"/>
        <v>29.900000000000002</v>
      </c>
      <c r="H13">
        <f t="shared" si="1"/>
        <v>9.9666666666666668</v>
      </c>
    </row>
    <row r="14" spans="1:8" ht="18" customHeight="1">
      <c r="A14" s="6">
        <v>14</v>
      </c>
      <c r="B14" s="7" t="s">
        <v>26</v>
      </c>
      <c r="C14" s="8">
        <v>29.6</v>
      </c>
      <c r="D14" s="8">
        <v>30</v>
      </c>
      <c r="E14" s="8">
        <v>30</v>
      </c>
      <c r="F14" s="5">
        <f t="shared" si="2"/>
        <v>89.6</v>
      </c>
      <c r="G14">
        <f t="shared" si="0"/>
        <v>29.866666666666664</v>
      </c>
      <c r="H14">
        <f t="shared" si="1"/>
        <v>9.9555555555555539</v>
      </c>
    </row>
    <row r="15" spans="1:8" ht="18" customHeight="1">
      <c r="A15" s="6"/>
      <c r="B15" s="7" t="s">
        <v>34</v>
      </c>
      <c r="C15" s="8">
        <v>29.7</v>
      </c>
      <c r="D15" s="8">
        <v>29.9</v>
      </c>
      <c r="E15" s="8">
        <v>30</v>
      </c>
      <c r="F15" s="5">
        <f t="shared" si="2"/>
        <v>89.6</v>
      </c>
      <c r="G15">
        <f t="shared" si="0"/>
        <v>29.866666666666664</v>
      </c>
      <c r="H15">
        <f t="shared" si="1"/>
        <v>9.9555555555555539</v>
      </c>
    </row>
    <row r="16" spans="1:8" ht="18" customHeight="1">
      <c r="A16" s="6">
        <v>15</v>
      </c>
      <c r="B16" s="7" t="s">
        <v>36</v>
      </c>
      <c r="C16" s="8">
        <v>29.5</v>
      </c>
      <c r="D16" s="8">
        <v>29.8</v>
      </c>
      <c r="E16" s="8">
        <v>29.9</v>
      </c>
      <c r="F16" s="5">
        <f t="shared" si="2"/>
        <v>89.199999999999989</v>
      </c>
      <c r="G16">
        <f t="shared" si="0"/>
        <v>29.733333333333331</v>
      </c>
      <c r="H16">
        <f t="shared" si="1"/>
        <v>9.9111111111111097</v>
      </c>
    </row>
  </sheetData>
  <mergeCells count="2">
    <mergeCell ref="A1:B1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</vt:lpstr>
      <vt:lpstr>FIGURINO</vt:lpstr>
      <vt:lpstr>CASAL DE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</cp:lastModifiedBy>
  <dcterms:created xsi:type="dcterms:W3CDTF">2026-03-12T20:35:27Z</dcterms:created>
  <dcterms:modified xsi:type="dcterms:W3CDTF">2026-05-01T15:02:36Z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www.smallpdf.com</vt:lpwstr>
  </property>
</Properties>
</file>
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ago\Documents\GitHub\site-linq-dfe-beta\dashboard\assets\notas\"/>
    </mc:Choice>
  </mc:AlternateContent>
  <xr:revisionPtr revIDLastSave="0" documentId="13_ncr:1_{39041062-09E9-4442-9D38-B83434B06CC5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TOTAL" sheetId="8" r:id="rId1"/>
    <sheet name="COREOGRAFIA" sheetId="16" r:id="rId2"/>
    <sheet name="MARCAÇÃO" sheetId="17" r:id="rId3"/>
    <sheet name="ANIMAÇÃO" sheetId="18" r:id="rId4"/>
    <sheet name="FIGURINO" sheetId="19" r:id="rId5"/>
    <sheet name="CASAL DE NOIVOS" sheetId="20" r:id="rId6"/>
    <sheet name="TRILHA SONORA" sheetId="21" r:id="rId7"/>
    <sheet name="TEMÁTICA" sheetId="2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22" l="1"/>
  <c r="F7" i="22" s="1"/>
  <c r="G7" i="22" s="1"/>
  <c r="E16" i="22"/>
  <c r="F16" i="22" s="1"/>
  <c r="G16" i="22" s="1"/>
  <c r="E15" i="22"/>
  <c r="F15" i="22" s="1"/>
  <c r="G15" i="22" s="1"/>
  <c r="E14" i="22"/>
  <c r="F14" i="22" s="1"/>
  <c r="G14" i="22" s="1"/>
  <c r="E13" i="22"/>
  <c r="F13" i="22" s="1"/>
  <c r="G13" i="22" s="1"/>
  <c r="E12" i="22"/>
  <c r="F12" i="22" s="1"/>
  <c r="G12" i="22" s="1"/>
  <c r="E11" i="22"/>
  <c r="F11" i="22" s="1"/>
  <c r="G11" i="22" s="1"/>
  <c r="E10" i="22"/>
  <c r="F10" i="22" s="1"/>
  <c r="G10" i="22" s="1"/>
  <c r="E9" i="22"/>
  <c r="F9" i="22" s="1"/>
  <c r="G9" i="22" s="1"/>
  <c r="E8" i="22"/>
  <c r="F8" i="22" s="1"/>
  <c r="G8" i="22" s="1"/>
  <c r="E6" i="22"/>
  <c r="F6" i="22" s="1"/>
  <c r="G6" i="22" s="1"/>
  <c r="E5" i="22"/>
  <c r="F5" i="22" s="1"/>
  <c r="G5" i="22" s="1"/>
  <c r="E4" i="22"/>
  <c r="F4" i="22" s="1"/>
  <c r="G4" i="22" s="1"/>
  <c r="E3" i="22"/>
  <c r="F3" i="22" s="1"/>
  <c r="G3" i="22" s="1"/>
  <c r="E2" i="22"/>
  <c r="F2" i="22" s="1"/>
  <c r="G2" i="22" s="1"/>
  <c r="F16" i="21"/>
  <c r="G16" i="21" s="1"/>
  <c r="E16" i="21"/>
  <c r="E15" i="21"/>
  <c r="F15" i="21" s="1"/>
  <c r="G15" i="21" s="1"/>
  <c r="E14" i="21"/>
  <c r="F14" i="21" s="1"/>
  <c r="G14" i="21" s="1"/>
  <c r="E13" i="21"/>
  <c r="F13" i="21" s="1"/>
  <c r="G13" i="21" s="1"/>
  <c r="F12" i="21"/>
  <c r="G12" i="21" s="1"/>
  <c r="E12" i="21"/>
  <c r="E11" i="21"/>
  <c r="F11" i="21" s="1"/>
  <c r="G11" i="21" s="1"/>
  <c r="F10" i="21"/>
  <c r="G10" i="21" s="1"/>
  <c r="E10" i="21"/>
  <c r="E9" i="21"/>
  <c r="F9" i="21" s="1"/>
  <c r="G9" i="21" s="1"/>
  <c r="E8" i="21"/>
  <c r="F8" i="21" s="1"/>
  <c r="G8" i="21" s="1"/>
  <c r="E7" i="21"/>
  <c r="F7" i="21" s="1"/>
  <c r="G7" i="21" s="1"/>
  <c r="E6" i="21"/>
  <c r="F6" i="21" s="1"/>
  <c r="G6" i="21" s="1"/>
  <c r="E5" i="21"/>
  <c r="F5" i="21" s="1"/>
  <c r="G5" i="21" s="1"/>
  <c r="F4" i="21"/>
  <c r="G4" i="21" s="1"/>
  <c r="E4" i="21"/>
  <c r="E3" i="21"/>
  <c r="F3" i="21" s="1"/>
  <c r="G3" i="21" s="1"/>
  <c r="E2" i="21"/>
  <c r="F2" i="21" s="1"/>
  <c r="G2" i="21" s="1"/>
  <c r="E16" i="20"/>
  <c r="F16" i="20" s="1"/>
  <c r="G16" i="20" s="1"/>
  <c r="E15" i="20"/>
  <c r="F15" i="20" s="1"/>
  <c r="G15" i="20" s="1"/>
  <c r="E14" i="20"/>
  <c r="F14" i="20" s="1"/>
  <c r="G14" i="20" s="1"/>
  <c r="E13" i="20"/>
  <c r="F13" i="20" s="1"/>
  <c r="G13" i="20" s="1"/>
  <c r="E12" i="20"/>
  <c r="F12" i="20" s="1"/>
  <c r="G12" i="20" s="1"/>
  <c r="E11" i="20"/>
  <c r="F11" i="20" s="1"/>
  <c r="G11" i="20" s="1"/>
  <c r="E10" i="20"/>
  <c r="F10" i="20" s="1"/>
  <c r="G10" i="20" s="1"/>
  <c r="E9" i="20"/>
  <c r="F9" i="20" s="1"/>
  <c r="G9" i="20" s="1"/>
  <c r="E8" i="20"/>
  <c r="F8" i="20" s="1"/>
  <c r="G8" i="20" s="1"/>
  <c r="F7" i="20"/>
  <c r="G7" i="20" s="1"/>
  <c r="E7" i="20"/>
  <c r="E6" i="20"/>
  <c r="F6" i="20" s="1"/>
  <c r="G6" i="20" s="1"/>
  <c r="F5" i="20"/>
  <c r="G5" i="20" s="1"/>
  <c r="E5" i="20"/>
  <c r="E4" i="20"/>
  <c r="F4" i="20" s="1"/>
  <c r="G4" i="20" s="1"/>
  <c r="F3" i="20"/>
  <c r="G3" i="20" s="1"/>
  <c r="E3" i="20"/>
  <c r="E2" i="20"/>
  <c r="F2" i="20" s="1"/>
  <c r="G2" i="20" s="1"/>
  <c r="E16" i="19"/>
  <c r="F16" i="19" s="1"/>
  <c r="G16" i="19" s="1"/>
  <c r="E15" i="19"/>
  <c r="F15" i="19" s="1"/>
  <c r="G15" i="19" s="1"/>
  <c r="E14" i="19"/>
  <c r="F14" i="19" s="1"/>
  <c r="G14" i="19" s="1"/>
  <c r="E13" i="19"/>
  <c r="F13" i="19" s="1"/>
  <c r="G13" i="19" s="1"/>
  <c r="E12" i="19"/>
  <c r="F12" i="19" s="1"/>
  <c r="G12" i="19" s="1"/>
  <c r="E11" i="19"/>
  <c r="F11" i="19" s="1"/>
  <c r="G11" i="19" s="1"/>
  <c r="E10" i="19"/>
  <c r="F10" i="19" s="1"/>
  <c r="G10" i="19" s="1"/>
  <c r="E9" i="19"/>
  <c r="F9" i="19" s="1"/>
  <c r="G9" i="19" s="1"/>
  <c r="E8" i="19"/>
  <c r="F8" i="19" s="1"/>
  <c r="G8" i="19" s="1"/>
  <c r="E7" i="19"/>
  <c r="F7" i="19" s="1"/>
  <c r="G7" i="19" s="1"/>
  <c r="E6" i="19"/>
  <c r="F6" i="19" s="1"/>
  <c r="G6" i="19" s="1"/>
  <c r="E5" i="19"/>
  <c r="F5" i="19" s="1"/>
  <c r="G5" i="19" s="1"/>
  <c r="E4" i="19"/>
  <c r="F4" i="19" s="1"/>
  <c r="G4" i="19" s="1"/>
  <c r="E3" i="19"/>
  <c r="F3" i="19" s="1"/>
  <c r="G3" i="19" s="1"/>
  <c r="E2" i="19"/>
  <c r="F2" i="19" s="1"/>
  <c r="G2" i="19" s="1"/>
  <c r="E16" i="18"/>
  <c r="F16" i="18" s="1"/>
  <c r="G16" i="18" s="1"/>
  <c r="E15" i="18"/>
  <c r="F15" i="18" s="1"/>
  <c r="G15" i="18" s="1"/>
  <c r="E14" i="18"/>
  <c r="F14" i="18" s="1"/>
  <c r="G14" i="18" s="1"/>
  <c r="E13" i="18"/>
  <c r="F13" i="18" s="1"/>
  <c r="G13" i="18" s="1"/>
  <c r="E12" i="18"/>
  <c r="F12" i="18" s="1"/>
  <c r="G12" i="18" s="1"/>
  <c r="E11" i="18"/>
  <c r="F11" i="18" s="1"/>
  <c r="G11" i="18" s="1"/>
  <c r="E10" i="18"/>
  <c r="F10" i="18" s="1"/>
  <c r="G10" i="18" s="1"/>
  <c r="E9" i="18"/>
  <c r="F9" i="18" s="1"/>
  <c r="G9" i="18" s="1"/>
  <c r="E8" i="18"/>
  <c r="F8" i="18" s="1"/>
  <c r="G8" i="18" s="1"/>
  <c r="E7" i="18"/>
  <c r="F7" i="18" s="1"/>
  <c r="G7" i="18" s="1"/>
  <c r="E6" i="18"/>
  <c r="F6" i="18" s="1"/>
  <c r="G6" i="18" s="1"/>
  <c r="E5" i="18"/>
  <c r="F5" i="18" s="1"/>
  <c r="G5" i="18" s="1"/>
  <c r="E4" i="18"/>
  <c r="F4" i="18" s="1"/>
  <c r="G4" i="18" s="1"/>
  <c r="E3" i="18"/>
  <c r="F3" i="18" s="1"/>
  <c r="G3" i="18" s="1"/>
  <c r="E2" i="18"/>
  <c r="F2" i="18" s="1"/>
  <c r="G2" i="18" s="1"/>
  <c r="E16" i="17"/>
  <c r="F16" i="17" s="1"/>
  <c r="G16" i="17" s="1"/>
  <c r="E15" i="17"/>
  <c r="F15" i="17" s="1"/>
  <c r="G15" i="17" s="1"/>
  <c r="E14" i="17"/>
  <c r="F14" i="17" s="1"/>
  <c r="G14" i="17" s="1"/>
  <c r="E13" i="17"/>
  <c r="F13" i="17" s="1"/>
  <c r="G13" i="17" s="1"/>
  <c r="F12" i="17"/>
  <c r="G12" i="17" s="1"/>
  <c r="E12" i="17"/>
  <c r="E11" i="17"/>
  <c r="F11" i="17" s="1"/>
  <c r="G11" i="17" s="1"/>
  <c r="E10" i="17"/>
  <c r="F10" i="17" s="1"/>
  <c r="G10" i="17" s="1"/>
  <c r="E9" i="17"/>
  <c r="F9" i="17" s="1"/>
  <c r="G9" i="17" s="1"/>
  <c r="E8" i="17"/>
  <c r="F8" i="17" s="1"/>
  <c r="G8" i="17" s="1"/>
  <c r="E7" i="17"/>
  <c r="F7" i="17" s="1"/>
  <c r="G7" i="17" s="1"/>
  <c r="E6" i="17"/>
  <c r="F6" i="17" s="1"/>
  <c r="G6" i="17" s="1"/>
  <c r="E5" i="17"/>
  <c r="F5" i="17" s="1"/>
  <c r="G5" i="17" s="1"/>
  <c r="E4" i="17"/>
  <c r="F4" i="17" s="1"/>
  <c r="G4" i="17" s="1"/>
  <c r="E3" i="17"/>
  <c r="F3" i="17" s="1"/>
  <c r="G3" i="17" s="1"/>
  <c r="E2" i="17"/>
  <c r="F2" i="17" s="1"/>
  <c r="G2" i="17" s="1"/>
  <c r="E16" i="16"/>
  <c r="F16" i="16" s="1"/>
  <c r="G16" i="16" s="1"/>
  <c r="E15" i="16"/>
  <c r="F15" i="16" s="1"/>
  <c r="G15" i="16" s="1"/>
  <c r="F14" i="16"/>
  <c r="G14" i="16" s="1"/>
  <c r="E14" i="16"/>
  <c r="E13" i="16"/>
  <c r="F13" i="16" s="1"/>
  <c r="G13" i="16" s="1"/>
  <c r="E12" i="16"/>
  <c r="F12" i="16" s="1"/>
  <c r="G12" i="16" s="1"/>
  <c r="G11" i="16"/>
  <c r="F11" i="16"/>
  <c r="E11" i="16"/>
  <c r="E10" i="16"/>
  <c r="F10" i="16" s="1"/>
  <c r="G10" i="16" s="1"/>
  <c r="E9" i="16"/>
  <c r="F9" i="16" s="1"/>
  <c r="G9" i="16" s="1"/>
  <c r="E8" i="16"/>
  <c r="F8" i="16" s="1"/>
  <c r="G8" i="16" s="1"/>
  <c r="E7" i="16"/>
  <c r="F7" i="16" s="1"/>
  <c r="G7" i="16" s="1"/>
  <c r="F6" i="16"/>
  <c r="G6" i="16" s="1"/>
  <c r="E6" i="16"/>
  <c r="E5" i="16"/>
  <c r="F5" i="16" s="1"/>
  <c r="G5" i="16" s="1"/>
  <c r="E4" i="16"/>
  <c r="F4" i="16" s="1"/>
  <c r="G4" i="16" s="1"/>
  <c r="G3" i="16"/>
  <c r="F3" i="16"/>
  <c r="E3" i="16"/>
  <c r="E2" i="16"/>
  <c r="F2" i="16" s="1"/>
  <c r="G2" i="16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3" i="8"/>
</calcChain>
</file>

<file path=xl/sharedStrings.xml><?xml version="1.0" encoding="utf-8"?>
<sst xmlns="http://schemas.openxmlformats.org/spreadsheetml/2006/main" count="170" uniqueCount="43">
  <si>
    <r>
      <rPr>
        <sz val="8"/>
        <rFont val="Calibri"/>
        <family val="1"/>
      </rPr>
      <t>AMOR JUNINO</t>
    </r>
  </si>
  <si>
    <r>
      <rPr>
        <sz val="8"/>
        <rFont val="Calibri"/>
        <family val="1"/>
      </rPr>
      <t>COISAS DA ROÇA</t>
    </r>
  </si>
  <si>
    <r>
      <rPr>
        <sz val="8"/>
        <rFont val="Calibri"/>
        <family val="1"/>
      </rPr>
      <t>RASGA O FOLE</t>
    </r>
  </si>
  <si>
    <r>
      <rPr>
        <sz val="8"/>
        <rFont val="Calibri"/>
        <family val="1"/>
      </rPr>
      <t>ARROXA O NÓ</t>
    </r>
  </si>
  <si>
    <r>
      <rPr>
        <sz val="8"/>
        <rFont val="Calibri"/>
        <family val="1"/>
      </rPr>
      <t>RIBULIÇO</t>
    </r>
  </si>
  <si>
    <r>
      <rPr>
        <sz val="8"/>
        <rFont val="Calibri"/>
        <family val="1"/>
      </rPr>
      <t>EITA BAGACEIRA</t>
    </r>
  </si>
  <si>
    <r>
      <rPr>
        <sz val="8"/>
        <rFont val="Calibri"/>
        <family val="1"/>
      </rPr>
      <t>ARRAIÁ DOS MATUTOS</t>
    </r>
  </si>
  <si>
    <r>
      <rPr>
        <sz val="8"/>
        <rFont val="Calibri"/>
        <family val="1"/>
      </rPr>
      <t>FORMIGA DA ROÇA</t>
    </r>
  </si>
  <si>
    <r>
      <rPr>
        <sz val="8"/>
        <rFont val="Calibri"/>
        <family val="1"/>
      </rPr>
      <t>PINGA EM MIM</t>
    </r>
  </si>
  <si>
    <r>
      <rPr>
        <sz val="8"/>
        <rFont val="Calibri"/>
        <family val="1"/>
      </rPr>
      <t>ESPALHA BRASA</t>
    </r>
  </si>
  <si>
    <r>
      <rPr>
        <sz val="8"/>
        <rFont val="Calibri"/>
        <family val="1"/>
      </rPr>
      <t>VAI MAS NÃO VAI</t>
    </r>
  </si>
  <si>
    <r>
      <rPr>
        <sz val="8"/>
        <rFont val="Calibri"/>
        <family val="1"/>
      </rPr>
      <t>MALA VÉIA</t>
    </r>
  </si>
  <si>
    <r>
      <rPr>
        <sz val="8"/>
        <rFont val="Calibri"/>
        <family val="1"/>
      </rPr>
      <t>TICO TICO NO FUBÁ</t>
    </r>
  </si>
  <si>
    <r>
      <rPr>
        <sz val="8"/>
        <rFont val="Calibri"/>
        <family val="1"/>
      </rPr>
      <t>XAMEGAR</t>
    </r>
  </si>
  <si>
    <r>
      <rPr>
        <sz val="8"/>
        <rFont val="Calibri"/>
        <family val="1"/>
      </rPr>
      <t>CAIPIRADA</t>
    </r>
  </si>
  <si>
    <r>
      <rPr>
        <b/>
        <sz val="14"/>
        <rFont val="Calibri"/>
        <family val="1"/>
      </rPr>
      <t>RESULTADO GRUPO ESPECIAL 2025</t>
    </r>
  </si>
  <si>
    <r>
      <rPr>
        <b/>
        <sz val="14"/>
        <rFont val="Calibri"/>
        <family val="1"/>
      </rPr>
      <t>C</t>
    </r>
  </si>
  <si>
    <r>
      <rPr>
        <b/>
        <sz val="14"/>
        <rFont val="Calibri"/>
        <family val="1"/>
      </rPr>
      <t>QUADRILHAS</t>
    </r>
  </si>
  <si>
    <r>
      <rPr>
        <b/>
        <sz val="14"/>
        <rFont val="Calibri"/>
        <family val="1"/>
      </rPr>
      <t>1ª ETAPA</t>
    </r>
  </si>
  <si>
    <r>
      <rPr>
        <b/>
        <sz val="14"/>
        <rFont val="Calibri"/>
        <family val="1"/>
      </rPr>
      <t>2ª ETAPA</t>
    </r>
  </si>
  <si>
    <r>
      <rPr>
        <b/>
        <sz val="14"/>
        <rFont val="Calibri"/>
        <family val="1"/>
      </rPr>
      <t>3ª ETAPA</t>
    </r>
  </si>
  <si>
    <r>
      <rPr>
        <b/>
        <sz val="14"/>
        <rFont val="Calibri"/>
        <family val="1"/>
      </rPr>
      <t>TOTAL</t>
    </r>
  </si>
  <si>
    <r>
      <rPr>
        <b/>
        <sz val="16"/>
        <rFont val="Calibri"/>
        <family val="1"/>
      </rPr>
      <t>ARROXA O NÓ*</t>
    </r>
  </si>
  <si>
    <r>
      <rPr>
        <sz val="14"/>
        <rFont val="Calibri"/>
        <family val="1"/>
      </rPr>
      <t>FORMIGA DA ROÇA</t>
    </r>
  </si>
  <si>
    <r>
      <rPr>
        <sz val="14"/>
        <rFont val="Calibri"/>
        <family val="1"/>
      </rPr>
      <t>RIBULIÇO</t>
    </r>
  </si>
  <si>
    <r>
      <rPr>
        <sz val="14"/>
        <rFont val="Calibri"/>
        <family val="1"/>
      </rPr>
      <t>RASGA O FOLE</t>
    </r>
  </si>
  <si>
    <r>
      <rPr>
        <sz val="14"/>
        <rFont val="Calibri"/>
        <family val="1"/>
      </rPr>
      <t>CAIPIRADA</t>
    </r>
  </si>
  <si>
    <r>
      <rPr>
        <sz val="14"/>
        <rFont val="Calibri"/>
        <family val="1"/>
      </rPr>
      <t>PINGA EM MIM</t>
    </r>
  </si>
  <si>
    <r>
      <rPr>
        <sz val="14"/>
        <rFont val="Calibri"/>
        <family val="1"/>
      </rPr>
      <t>XAMEGAR</t>
    </r>
  </si>
  <si>
    <r>
      <rPr>
        <sz val="14"/>
        <rFont val="Calibri"/>
        <family val="1"/>
      </rPr>
      <t>VAI MAS NÃO VAI</t>
    </r>
  </si>
  <si>
    <r>
      <rPr>
        <sz val="14"/>
        <rFont val="Calibri"/>
        <family val="1"/>
      </rPr>
      <t>AMOR JUNINO</t>
    </r>
  </si>
  <si>
    <r>
      <rPr>
        <sz val="14"/>
        <rFont val="Calibri"/>
        <family val="1"/>
      </rPr>
      <t>MALA VÉIA</t>
    </r>
  </si>
  <si>
    <r>
      <rPr>
        <sz val="14"/>
        <rFont val="Calibri"/>
        <family val="1"/>
      </rPr>
      <t>EITA BAGACEIRA</t>
    </r>
  </si>
  <si>
    <r>
      <rPr>
        <sz val="14"/>
        <rFont val="Calibri"/>
        <family val="1"/>
      </rPr>
      <t>ARRAIÁ DOS MATUTOS*</t>
    </r>
  </si>
  <si>
    <r>
      <rPr>
        <sz val="14"/>
        <rFont val="Calibri"/>
        <family val="1"/>
      </rPr>
      <t>ESPALHA BRASA</t>
    </r>
  </si>
  <si>
    <r>
      <rPr>
        <sz val="14"/>
        <rFont val="Calibri"/>
        <family val="1"/>
      </rPr>
      <t>COISAS DA ROÇA</t>
    </r>
  </si>
  <si>
    <r>
      <rPr>
        <sz val="14"/>
        <rFont val="Calibri"/>
        <family val="1"/>
      </rPr>
      <t>TICO TICO NO FUBÁ</t>
    </r>
  </si>
  <si>
    <t>1 ETAPA</t>
  </si>
  <si>
    <t>2 ETAPA</t>
  </si>
  <si>
    <t>3 ETAPA</t>
  </si>
  <si>
    <t>MÉDIA REAL</t>
  </si>
  <si>
    <t>QUADRILHA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</si>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</sst>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5">
    <font>
      <sz val="10"/>
      <color rgb="FF000000"/>
      <name val="Times New Roman"/>
      <charset val="204"/>
    </font>
    <font>
      <sz val="8"/>
      <name val="Calibri"/>
    </font>
    <font>
      <b/>
      <sz val="8"/>
      <color rgb="FF000000"/>
      <name val="Calibri"/>
      <family val="2"/>
    </font>
    <font>
      <b/>
      <sz val="14"/>
      <name val="Calibri"/>
    </font>
    <font>
      <b/>
      <sz val="16"/>
      <color rgb="FF000000"/>
      <name val="Calibri"/>
      <family val="2"/>
    </font>
    <font>
      <b/>
      <sz val="16"/>
      <name val="Calibri"/>
    </font>
    <font>
      <sz val="14"/>
      <color rgb="FF000000"/>
      <name val="Calibri"/>
      <family val="2"/>
    </font>
    <font>
      <sz val="14"/>
      <name val="Calibri"/>
    </font>
    <font>
      <sz val="8"/>
      <name val="Calibri"/>
      <family val="1"/>
    </font>
    <font>
      <b/>
      <sz val="14"/>
      <name val="Calibri"/>
      <family val="1"/>
    </font>
    <font>
      <b/>
      <sz val="16"/>
      <name val="Calibri"/>
      <family val="1"/>
    </font>
    <font>
      <sz val="14"/>
      <name val="Calibri"/>
      <family val="1"/>
    </font>
    <font>
      <sz val="10"/>
      <color rgb="FF000000"/>
      <name val="Times New Roman"/>
      <family val="1"/>
    </font>
    <font>
      <sz val="8"/>
      <name val="Times New Roman"/>
      <family val="1"/>
    </font>
    <font>
      <b/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EF907A"/>
      </patternFill>
    </fill>
    <fill>
      <patternFill patternType="solid">
        <fgColor rgb="FFEAD0B1"/>
      </patternFill>
    </fill>
    <fill>
      <patternFill patternType="solid">
        <fgColor rgb="FFF7921C"/>
      </patternFill>
    </fill>
    <fill>
      <patternFill patternType="solid">
        <fgColor rgb="FFF9D9D2"/>
      </patternFill>
    </fill>
    <fill>
      <patternFill patternType="solid">
        <fgColor rgb="FFCFE8B3"/>
      </patternFill>
    </fill>
  </fills>
  <borders count="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7">
    <xf numFmtId="0" fontId="0" fillId="0" borderId="0" xfId="0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164" fontId="2" fillId="2" borderId="3" xfId="0" applyNumberFormat="1" applyFont="1" applyFill="1" applyBorder="1" applyAlignment="1">
      <alignment horizontal="right" vertical="top" shrinkToFit="1"/>
    </xf>
    <xf numFmtId="0" fontId="3" fillId="0" borderId="3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left" vertical="top" wrapText="1" indent="5"/>
    </xf>
    <xf numFmtId="0" fontId="3" fillId="0" borderId="3" xfId="0" applyFont="1" applyBorder="1" applyAlignment="1">
      <alignment horizontal="left" vertical="top" wrapText="1" indent="1"/>
    </xf>
    <xf numFmtId="0" fontId="3" fillId="0" borderId="3" xfId="0" applyFont="1" applyBorder="1" applyAlignment="1">
      <alignment horizontal="left" vertical="top" wrapText="1" indent="2"/>
    </xf>
    <xf numFmtId="1" fontId="4" fillId="4" borderId="3" xfId="0" applyNumberFormat="1" applyFont="1" applyFill="1" applyBorder="1" applyAlignment="1">
      <alignment horizontal="right" vertical="top" shrinkToFit="1"/>
    </xf>
    <xf numFmtId="0" fontId="5" fillId="4" borderId="3" xfId="0" applyFont="1" applyFill="1" applyBorder="1" applyAlignment="1">
      <alignment horizontal="left" vertical="top" wrapText="1"/>
    </xf>
    <xf numFmtId="164" fontId="4" fillId="4" borderId="3" xfId="0" applyNumberFormat="1" applyFont="1" applyFill="1" applyBorder="1" applyAlignment="1">
      <alignment horizontal="right" vertical="top" shrinkToFit="1"/>
    </xf>
    <xf numFmtId="1" fontId="6" fillId="3" borderId="3" xfId="0" applyNumberFormat="1" applyFont="1" applyFill="1" applyBorder="1" applyAlignment="1">
      <alignment horizontal="right" vertical="top" shrinkToFit="1"/>
    </xf>
    <xf numFmtId="0" fontId="7" fillId="3" borderId="3" xfId="0" applyFont="1" applyFill="1" applyBorder="1" applyAlignment="1">
      <alignment horizontal="left" vertical="top" wrapText="1"/>
    </xf>
    <xf numFmtId="164" fontId="6" fillId="3" borderId="3" xfId="0" applyNumberFormat="1" applyFont="1" applyFill="1" applyBorder="1" applyAlignment="1">
      <alignment horizontal="right" vertical="top" shrinkToFit="1"/>
    </xf>
    <xf numFmtId="1" fontId="6" fillId="0" borderId="3" xfId="0" applyNumberFormat="1" applyFont="1" applyBorder="1" applyAlignment="1">
      <alignment horizontal="right" vertical="top" shrinkToFit="1"/>
    </xf>
    <xf numFmtId="0" fontId="7" fillId="0" borderId="3" xfId="0" applyFont="1" applyBorder="1" applyAlignment="1">
      <alignment horizontal="left" vertical="top" wrapText="1"/>
    </xf>
    <xf numFmtId="164" fontId="6" fillId="0" borderId="3" xfId="0" applyNumberFormat="1" applyFont="1" applyBorder="1" applyAlignment="1">
      <alignment horizontal="right" vertical="top" shrinkToFit="1"/>
    </xf>
    <xf numFmtId="1" fontId="6" fillId="5" borderId="3" xfId="0" applyNumberFormat="1" applyFont="1" applyFill="1" applyBorder="1" applyAlignment="1">
      <alignment horizontal="right" vertical="top" shrinkToFit="1"/>
    </xf>
    <xf numFmtId="0" fontId="7" fillId="5" borderId="3" xfId="0" applyFont="1" applyFill="1" applyBorder="1" applyAlignment="1">
      <alignment horizontal="left" vertical="top" wrapText="1"/>
    </xf>
    <xf numFmtId="164" fontId="6" fillId="5" borderId="3" xfId="0" applyNumberFormat="1" applyFont="1" applyFill="1" applyBorder="1" applyAlignment="1">
      <alignment horizontal="right" vertical="top" shrinkToFit="1"/>
    </xf>
    <xf numFmtId="2" fontId="0" fillId="0" borderId="0" xfId="0" applyNumberFormat="1" applyAlignment="1">
      <alignment horizontal="left" vertical="top"/>
    </xf>
    <xf numFmtId="0" fontId="12" fillId="0" borderId="0" xfId="0" applyFont="1" applyAlignment="1">
      <alignment horizontal="left" vertical="top"/>
    </xf>
    <xf numFmtId="2" fontId="12" fillId="0" borderId="0" xfId="0" applyNumberFormat="1" applyFont="1" applyAlignment="1">
      <alignment horizontal="left" vertical="top"/>
    </xf>
    <xf numFmtId="165" fontId="0" fillId="0" borderId="0" xfId="0" applyNumberFormat="1" applyAlignment="1">
      <alignment horizontal="left" vertical="top"/>
    </xf>
    <xf numFmtId="0" fontId="3" fillId="0" borderId="2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left" vertical="top" wrapText="1" indent="4"/>
    </xf>
    <xf numFmtId="164" fontId="0" fillId="0" borderId="4" xfId="0" applyNumberFormat="1" applyBorder="1" applyAlignment="1">
      <alignment horizontal="center" vertical="center"/>
    </xf>
    <xf numFmtId="164" fontId="14" fillId="6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8"/>
  <sheetViews>
    <sheetView tabSelected="1" workbookViewId="0">
      <selection activeCell="K17" sqref="K17"/>
    </sheetView>
  </sheetViews>
  <sheetFormatPr defaultRowHeight="12.75"/>
  <cols>
    <col min="1" max="1" width="6.5" customWidth="1"/>
    <col min="2" max="2" width="36.1640625" customWidth="1"/>
    <col min="3" max="5" width="16" customWidth="1"/>
    <col min="6" max="6" width="16.6640625" customWidth="1"/>
    <col min="9" max="9" width="14.1640625" bestFit="1" customWidth="1"/>
  </cols>
  <sheetData>
    <row r="1" spans="1:9" ht="21" customHeight="1">
      <c r="A1" s="23" t="s">
        <v>15</v>
      </c>
      <c r="B1" s="23"/>
      <c r="C1" s="23"/>
      <c r="D1" s="23"/>
      <c r="E1" s="23"/>
      <c r="F1" s="23"/>
    </row>
    <row r="2" spans="1:9" ht="27" customHeight="1">
      <c r="A2" s="3" t="s">
        <v>16</v>
      </c>
      <c r="B2" s="4" t="s">
        <v>17</v>
      </c>
      <c r="C2" s="5" t="s">
        <v>18</v>
      </c>
      <c r="D2" s="5" t="s">
        <v>19</v>
      </c>
      <c r="E2" s="5" t="s">
        <v>20</v>
      </c>
      <c r="F2" s="6" t="s">
        <v>21</v>
      </c>
      <c r="I2" s="20" t="s">
        <v>40</v>
      </c>
    </row>
    <row r="3" spans="1:9" ht="27" customHeight="1">
      <c r="A3" s="7">
        <v>1</v>
      </c>
      <c r="B3" s="8" t="s">
        <v>22</v>
      </c>
      <c r="C3" s="9">
        <v>209.6</v>
      </c>
      <c r="D3" s="9">
        <v>209.9</v>
      </c>
      <c r="E3" s="9">
        <v>209.7</v>
      </c>
      <c r="F3" s="9">
        <v>629.20000000000005</v>
      </c>
      <c r="G3" s="22">
        <f>F3/3</f>
        <v>209.73333333333335</v>
      </c>
      <c r="H3" s="22">
        <f>G3/7</f>
        <v>29.961904761904766</v>
      </c>
      <c r="I3" s="22">
        <f>H3/3</f>
        <v>9.9873015873015891</v>
      </c>
    </row>
    <row r="4" spans="1:9" ht="27" customHeight="1">
      <c r="A4" s="10">
        <v>2</v>
      </c>
      <c r="B4" s="11" t="s">
        <v>23</v>
      </c>
      <c r="C4" s="12">
        <v>209.9</v>
      </c>
      <c r="D4" s="12">
        <v>209.9</v>
      </c>
      <c r="E4" s="12">
        <v>209.4</v>
      </c>
      <c r="F4" s="12">
        <v>629.20000000000005</v>
      </c>
      <c r="G4" s="22">
        <f t="shared" ref="G4:G17" si="0">F4/3</f>
        <v>209.73333333333335</v>
      </c>
      <c r="H4" s="22">
        <f t="shared" ref="H4:H17" si="1">G4/7</f>
        <v>29.961904761904766</v>
      </c>
      <c r="I4" s="22">
        <f t="shared" ref="I4:I17" si="2">H4/3</f>
        <v>9.9873015873015891</v>
      </c>
    </row>
    <row r="5" spans="1:9" ht="27" customHeight="1">
      <c r="A5" s="10">
        <v>3</v>
      </c>
      <c r="B5" s="11" t="s">
        <v>24</v>
      </c>
      <c r="C5" s="12">
        <v>208.9</v>
      </c>
      <c r="D5" s="12">
        <v>209.9</v>
      </c>
      <c r="E5" s="12">
        <v>209.6</v>
      </c>
      <c r="F5" s="12">
        <v>628.4</v>
      </c>
      <c r="G5" s="22">
        <f t="shared" si="0"/>
        <v>209.46666666666667</v>
      </c>
      <c r="H5" s="22">
        <f t="shared" si="1"/>
        <v>29.923809523809524</v>
      </c>
      <c r="I5" s="22">
        <f t="shared" si="2"/>
        <v>9.9746031746031747</v>
      </c>
    </row>
    <row r="6" spans="1:9" ht="27" customHeight="1">
      <c r="A6" s="10">
        <v>4</v>
      </c>
      <c r="B6" s="11" t="s">
        <v>25</v>
      </c>
      <c r="C6" s="12">
        <v>209.1</v>
      </c>
      <c r="D6" s="12">
        <v>209.7</v>
      </c>
      <c r="E6" s="12">
        <v>208.9</v>
      </c>
      <c r="F6" s="12">
        <v>627.70000000000005</v>
      </c>
      <c r="G6" s="22">
        <f t="shared" si="0"/>
        <v>209.23333333333335</v>
      </c>
      <c r="H6" s="22">
        <f t="shared" si="1"/>
        <v>29.890476190476193</v>
      </c>
      <c r="I6" s="22">
        <f t="shared" si="2"/>
        <v>9.9634920634920636</v>
      </c>
    </row>
    <row r="7" spans="1:9" ht="27" customHeight="1">
      <c r="A7" s="10">
        <v>5</v>
      </c>
      <c r="B7" s="11" t="s">
        <v>26</v>
      </c>
      <c r="C7" s="12">
        <v>209.1</v>
      </c>
      <c r="D7" s="12">
        <v>209.1</v>
      </c>
      <c r="E7" s="12">
        <v>209.2</v>
      </c>
      <c r="F7" s="12">
        <v>627.4</v>
      </c>
      <c r="G7" s="22">
        <f t="shared" si="0"/>
        <v>209.13333333333333</v>
      </c>
      <c r="H7" s="22">
        <f t="shared" si="1"/>
        <v>29.876190476190477</v>
      </c>
      <c r="I7" s="22">
        <f t="shared" si="2"/>
        <v>9.9587301587301589</v>
      </c>
    </row>
    <row r="8" spans="1:9" ht="27" customHeight="1">
      <c r="A8" s="13">
        <v>6</v>
      </c>
      <c r="B8" s="14" t="s">
        <v>27</v>
      </c>
      <c r="C8" s="15">
        <v>208.6</v>
      </c>
      <c r="D8" s="15">
        <v>208.7</v>
      </c>
      <c r="E8" s="15">
        <v>209.4</v>
      </c>
      <c r="F8" s="15">
        <v>626.70000000000005</v>
      </c>
      <c r="G8" s="22">
        <f t="shared" si="0"/>
        <v>208.9</v>
      </c>
      <c r="H8" s="22">
        <f t="shared" si="1"/>
        <v>29.842857142857145</v>
      </c>
      <c r="I8" s="22">
        <f t="shared" si="2"/>
        <v>9.9476190476190478</v>
      </c>
    </row>
    <row r="9" spans="1:9" ht="27" customHeight="1">
      <c r="A9" s="13">
        <v>7</v>
      </c>
      <c r="B9" s="14" t="s">
        <v>28</v>
      </c>
      <c r="C9" s="15">
        <v>209</v>
      </c>
      <c r="D9" s="15">
        <v>209.3</v>
      </c>
      <c r="E9" s="15">
        <v>207.7</v>
      </c>
      <c r="F9" s="15">
        <v>626</v>
      </c>
      <c r="G9" s="22">
        <f t="shared" si="0"/>
        <v>208.66666666666666</v>
      </c>
      <c r="H9" s="22">
        <f t="shared" si="1"/>
        <v>29.809523809523807</v>
      </c>
      <c r="I9" s="22">
        <f t="shared" si="2"/>
        <v>9.936507936507935</v>
      </c>
    </row>
    <row r="10" spans="1:9" ht="27" customHeight="1">
      <c r="A10" s="13">
        <v>8</v>
      </c>
      <c r="B10" s="14" t="s">
        <v>29</v>
      </c>
      <c r="C10" s="15">
        <v>208.3</v>
      </c>
      <c r="D10" s="15">
        <v>208.9</v>
      </c>
      <c r="E10" s="15">
        <v>208.6</v>
      </c>
      <c r="F10" s="15">
        <v>625.79999999999995</v>
      </c>
      <c r="G10" s="22">
        <f t="shared" si="0"/>
        <v>208.6</v>
      </c>
      <c r="H10" s="22">
        <f t="shared" si="1"/>
        <v>29.8</v>
      </c>
      <c r="I10" s="22">
        <f t="shared" si="2"/>
        <v>9.9333333333333336</v>
      </c>
    </row>
    <row r="11" spans="1:9" ht="27" customHeight="1">
      <c r="A11" s="13">
        <v>9</v>
      </c>
      <c r="B11" s="14" t="s">
        <v>30</v>
      </c>
      <c r="C11" s="15">
        <v>208.6</v>
      </c>
      <c r="D11" s="15">
        <v>209.7</v>
      </c>
      <c r="E11" s="15">
        <v>207.3</v>
      </c>
      <c r="F11" s="15">
        <v>625.6</v>
      </c>
      <c r="G11" s="22">
        <f t="shared" si="0"/>
        <v>208.53333333333333</v>
      </c>
      <c r="H11" s="22">
        <f t="shared" si="1"/>
        <v>29.790476190476191</v>
      </c>
      <c r="I11" s="22">
        <f t="shared" si="2"/>
        <v>9.9301587301587304</v>
      </c>
    </row>
    <row r="12" spans="1:9" ht="27" customHeight="1">
      <c r="A12" s="13">
        <v>10</v>
      </c>
      <c r="B12" s="14" t="s">
        <v>31</v>
      </c>
      <c r="C12" s="15">
        <v>209.2</v>
      </c>
      <c r="D12" s="15">
        <v>208.9</v>
      </c>
      <c r="E12" s="15">
        <v>207.1</v>
      </c>
      <c r="F12" s="15">
        <v>625.20000000000005</v>
      </c>
      <c r="G12" s="22">
        <f t="shared" si="0"/>
        <v>208.4</v>
      </c>
      <c r="H12" s="22">
        <f t="shared" si="1"/>
        <v>29.771428571428572</v>
      </c>
      <c r="I12" s="22">
        <f t="shared" si="2"/>
        <v>9.9238095238095241</v>
      </c>
    </row>
    <row r="13" spans="1:9" ht="27" customHeight="1">
      <c r="A13" s="13">
        <v>11</v>
      </c>
      <c r="B13" s="14" t="s">
        <v>32</v>
      </c>
      <c r="C13" s="15">
        <v>207.7</v>
      </c>
      <c r="D13" s="15">
        <v>209</v>
      </c>
      <c r="E13" s="15">
        <v>207</v>
      </c>
      <c r="F13" s="15">
        <v>623.70000000000005</v>
      </c>
      <c r="G13" s="22">
        <f t="shared" si="0"/>
        <v>207.9</v>
      </c>
      <c r="H13" s="22">
        <f t="shared" si="1"/>
        <v>29.7</v>
      </c>
      <c r="I13" s="22">
        <f t="shared" si="2"/>
        <v>9.9</v>
      </c>
    </row>
    <row r="14" spans="1:9" ht="27" customHeight="1">
      <c r="A14" s="13">
        <v>12</v>
      </c>
      <c r="B14" s="14" t="s">
        <v>33</v>
      </c>
      <c r="C14" s="15">
        <v>207.1</v>
      </c>
      <c r="D14" s="15">
        <v>208.3</v>
      </c>
      <c r="E14" s="15">
        <v>206.9</v>
      </c>
      <c r="F14" s="15">
        <v>622.29999999999995</v>
      </c>
      <c r="G14" s="22">
        <f t="shared" si="0"/>
        <v>207.43333333333331</v>
      </c>
      <c r="H14" s="22">
        <f t="shared" si="1"/>
        <v>29.633333333333329</v>
      </c>
      <c r="I14" s="22">
        <f t="shared" si="2"/>
        <v>9.8777777777777764</v>
      </c>
    </row>
    <row r="15" spans="1:9" ht="27" customHeight="1">
      <c r="A15" s="16">
        <v>13</v>
      </c>
      <c r="B15" s="17" t="s">
        <v>34</v>
      </c>
      <c r="C15" s="18">
        <v>206.8</v>
      </c>
      <c r="D15" s="18">
        <v>208.5</v>
      </c>
      <c r="E15" s="18">
        <v>207</v>
      </c>
      <c r="F15" s="18">
        <v>622.29999999999995</v>
      </c>
      <c r="G15" s="22">
        <f t="shared" si="0"/>
        <v>207.43333333333331</v>
      </c>
      <c r="H15" s="22">
        <f t="shared" si="1"/>
        <v>29.633333333333329</v>
      </c>
      <c r="I15" s="22">
        <f t="shared" si="2"/>
        <v>9.8777777777777764</v>
      </c>
    </row>
    <row r="16" spans="1:9" ht="27" customHeight="1">
      <c r="A16" s="16">
        <v>14</v>
      </c>
      <c r="B16" s="17" t="s">
        <v>35</v>
      </c>
      <c r="C16" s="18">
        <v>206.5</v>
      </c>
      <c r="D16" s="18">
        <v>209.1</v>
      </c>
      <c r="E16" s="18">
        <v>206.3</v>
      </c>
      <c r="F16" s="18">
        <v>621.9</v>
      </c>
      <c r="G16" s="22">
        <f t="shared" si="0"/>
        <v>207.29999999999998</v>
      </c>
      <c r="H16" s="22">
        <f t="shared" si="1"/>
        <v>29.61428571428571</v>
      </c>
      <c r="I16" s="22">
        <f t="shared" si="2"/>
        <v>9.8714285714285701</v>
      </c>
    </row>
    <row r="17" spans="1:9" ht="27" customHeight="1">
      <c r="A17" s="16">
        <v>15</v>
      </c>
      <c r="B17" s="17" t="s">
        <v>36</v>
      </c>
      <c r="C17" s="18">
        <v>206.3</v>
      </c>
      <c r="D17" s="18">
        <v>208</v>
      </c>
      <c r="E17" s="18">
        <v>206.2</v>
      </c>
      <c r="F17" s="18">
        <v>620.5</v>
      </c>
      <c r="G17" s="22">
        <f t="shared" si="0"/>
        <v>206.83333333333334</v>
      </c>
      <c r="H17" s="22">
        <f t="shared" si="1"/>
        <v>29.547619047619047</v>
      </c>
      <c r="I17" s="22">
        <f t="shared" si="2"/>
        <v>9.8492063492063497</v>
      </c>
    </row>
    <row r="18" spans="1:9" ht="21" customHeight="1">
      <c r="A18" s="24"/>
      <c r="B18" s="24"/>
      <c r="C18" s="24"/>
      <c r="D18" s="24"/>
      <c r="E18" s="24"/>
      <c r="F18" s="24"/>
    </row>
  </sheetData>
  <mergeCells count="2">
    <mergeCell ref="A1:F1"/>
    <mergeCell ref="A18:F1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2F689-65FD-4730-B49C-CFCD4C137F95}">
  <dimension ref="A1:G16"/>
  <sheetViews>
    <sheetView workbookViewId="0">
      <selection sqref="A1:XFD1048576"/>
    </sheetView>
  </sheetViews>
  <sheetFormatPr defaultRowHeight="12.75"/>
  <cols>
    <col min="1" max="2" width="9.6640625" bestFit="1" customWidth="1"/>
    <col min="7" max="7" width="14.1640625" bestFit="1" customWidth="1"/>
  </cols>
  <sheetData>
    <row r="1" spans="1:7">
      <c r="A1" s="20" t="s">
        <v>41</v>
      </c>
      <c r="B1" s="20" t="s">
        <v>37</v>
      </c>
      <c r="C1" s="20" t="s">
        <v>38</v>
      </c>
      <c r="D1" s="20" t="s">
        <v>39</v>
      </c>
      <c r="E1" s="21" t="s">
        <v>42</v>
      </c>
      <c r="F1" s="19"/>
      <c r="G1" s="21" t="s">
        <v>40</v>
      </c>
    </row>
    <row r="2" spans="1:7" ht="22.5">
      <c r="A2" s="1" t="s">
        <v>0</v>
      </c>
      <c r="B2" s="2">
        <v>29.5</v>
      </c>
      <c r="C2" s="2">
        <v>29.9</v>
      </c>
      <c r="D2" s="2">
        <v>29.2</v>
      </c>
      <c r="E2" s="22">
        <f t="shared" ref="E2:E16" si="0">SUM(B2:D2)</f>
        <v>88.6</v>
      </c>
      <c r="F2" s="22">
        <f t="shared" ref="F2:G16" si="1">E2/3</f>
        <v>29.533333333333331</v>
      </c>
      <c r="G2" s="22">
        <f t="shared" si="1"/>
        <v>9.8444444444444432</v>
      </c>
    </row>
    <row r="3" spans="1:7" ht="33.75">
      <c r="A3" s="1" t="s">
        <v>6</v>
      </c>
      <c r="B3" s="2">
        <v>29.6</v>
      </c>
      <c r="C3" s="2">
        <v>29.7</v>
      </c>
      <c r="D3" s="2">
        <v>29</v>
      </c>
      <c r="E3" s="22">
        <f t="shared" si="0"/>
        <v>88.3</v>
      </c>
      <c r="F3" s="22">
        <f t="shared" si="1"/>
        <v>29.433333333333334</v>
      </c>
      <c r="G3" s="22">
        <f t="shared" si="1"/>
        <v>9.8111111111111118</v>
      </c>
    </row>
    <row r="4" spans="1:7" ht="22.5">
      <c r="A4" s="1" t="s">
        <v>3</v>
      </c>
      <c r="B4" s="2">
        <v>30</v>
      </c>
      <c r="C4" s="2">
        <v>30</v>
      </c>
      <c r="D4" s="2">
        <v>29.8</v>
      </c>
      <c r="E4" s="22">
        <f t="shared" si="0"/>
        <v>89.8</v>
      </c>
      <c r="F4" s="22">
        <f t="shared" si="1"/>
        <v>29.933333333333334</v>
      </c>
      <c r="G4" s="22">
        <f t="shared" si="1"/>
        <v>9.9777777777777779</v>
      </c>
    </row>
    <row r="5" spans="1:7">
      <c r="A5" s="1" t="s">
        <v>14</v>
      </c>
      <c r="B5" s="2">
        <v>29.5</v>
      </c>
      <c r="C5" s="2">
        <v>29.6</v>
      </c>
      <c r="D5" s="2">
        <v>29.5</v>
      </c>
      <c r="E5" s="22">
        <f t="shared" si="0"/>
        <v>88.6</v>
      </c>
      <c r="F5" s="22">
        <f t="shared" si="1"/>
        <v>29.533333333333331</v>
      </c>
      <c r="G5" s="22">
        <f t="shared" si="1"/>
        <v>9.8444444444444432</v>
      </c>
    </row>
    <row r="6" spans="1:7" ht="22.5">
      <c r="A6" s="1" t="s">
        <v>1</v>
      </c>
      <c r="B6" s="2">
        <v>29.2</v>
      </c>
      <c r="C6" s="2">
        <v>29.7</v>
      </c>
      <c r="D6" s="2">
        <v>29.1</v>
      </c>
      <c r="E6" s="22">
        <f t="shared" si="0"/>
        <v>88</v>
      </c>
      <c r="F6" s="22">
        <f t="shared" si="1"/>
        <v>29.333333333333332</v>
      </c>
      <c r="G6" s="22">
        <f t="shared" si="1"/>
        <v>9.7777777777777768</v>
      </c>
    </row>
    <row r="7" spans="1:7" ht="22.5">
      <c r="A7" s="1" t="s">
        <v>5</v>
      </c>
      <c r="B7" s="2">
        <v>29.6</v>
      </c>
      <c r="C7" s="2">
        <v>29.8</v>
      </c>
      <c r="D7" s="2">
        <v>29</v>
      </c>
      <c r="E7" s="22">
        <f t="shared" si="0"/>
        <v>88.4</v>
      </c>
      <c r="F7" s="22">
        <f t="shared" si="1"/>
        <v>29.466666666666669</v>
      </c>
      <c r="G7" s="22">
        <f t="shared" si="1"/>
        <v>9.8222222222222229</v>
      </c>
    </row>
    <row r="8" spans="1:7" ht="22.5">
      <c r="A8" s="1" t="s">
        <v>9</v>
      </c>
      <c r="B8" s="2">
        <v>29.1</v>
      </c>
      <c r="C8" s="2">
        <v>29.7</v>
      </c>
      <c r="D8" s="2">
        <v>29.1</v>
      </c>
      <c r="E8" s="22">
        <f t="shared" si="0"/>
        <v>87.9</v>
      </c>
      <c r="F8" s="22">
        <f t="shared" si="1"/>
        <v>29.3</v>
      </c>
      <c r="G8" s="22">
        <f t="shared" si="1"/>
        <v>9.7666666666666675</v>
      </c>
    </row>
    <row r="9" spans="1:7" ht="22.5">
      <c r="A9" s="1" t="s">
        <v>7</v>
      </c>
      <c r="B9" s="2">
        <v>29.9</v>
      </c>
      <c r="C9" s="2">
        <v>29.9</v>
      </c>
      <c r="D9" s="2">
        <v>29.7</v>
      </c>
      <c r="E9" s="22">
        <f t="shared" si="0"/>
        <v>89.5</v>
      </c>
      <c r="F9" s="22">
        <f t="shared" si="1"/>
        <v>29.833333333333332</v>
      </c>
      <c r="G9" s="22">
        <f t="shared" si="1"/>
        <v>9.9444444444444446</v>
      </c>
    </row>
    <row r="10" spans="1:7">
      <c r="A10" s="1" t="s">
        <v>11</v>
      </c>
      <c r="B10" s="2">
        <v>29.6</v>
      </c>
      <c r="C10" s="2">
        <v>29.9</v>
      </c>
      <c r="D10" s="2">
        <v>29.1</v>
      </c>
      <c r="E10" s="22">
        <f t="shared" si="0"/>
        <v>88.6</v>
      </c>
      <c r="F10" s="22">
        <f t="shared" si="1"/>
        <v>29.533333333333331</v>
      </c>
      <c r="G10" s="22">
        <f t="shared" si="1"/>
        <v>9.8444444444444432</v>
      </c>
    </row>
    <row r="11" spans="1:7" ht="22.5">
      <c r="A11" s="1" t="s">
        <v>8</v>
      </c>
      <c r="B11" s="2">
        <v>29.4</v>
      </c>
      <c r="C11" s="2">
        <v>29.6</v>
      </c>
      <c r="D11" s="2">
        <v>29.8</v>
      </c>
      <c r="E11" s="22">
        <f t="shared" si="0"/>
        <v>88.8</v>
      </c>
      <c r="F11" s="22">
        <f t="shared" si="1"/>
        <v>29.599999999999998</v>
      </c>
      <c r="G11" s="22">
        <f t="shared" si="1"/>
        <v>9.8666666666666654</v>
      </c>
    </row>
    <row r="12" spans="1:7" ht="22.5">
      <c r="A12" s="1" t="s">
        <v>2</v>
      </c>
      <c r="B12" s="2">
        <v>29.6</v>
      </c>
      <c r="C12" s="2">
        <v>29.9</v>
      </c>
      <c r="D12" s="2">
        <v>29.5</v>
      </c>
      <c r="E12" s="22">
        <f t="shared" si="0"/>
        <v>89</v>
      </c>
      <c r="F12" s="22">
        <f t="shared" si="1"/>
        <v>29.666666666666668</v>
      </c>
      <c r="G12" s="22">
        <f t="shared" si="1"/>
        <v>9.8888888888888893</v>
      </c>
    </row>
    <row r="13" spans="1:7">
      <c r="A13" s="1" t="s">
        <v>4</v>
      </c>
      <c r="B13" s="2">
        <v>29.8</v>
      </c>
      <c r="C13" s="2">
        <v>30</v>
      </c>
      <c r="D13" s="2">
        <v>29.7</v>
      </c>
      <c r="E13" s="22">
        <f t="shared" si="0"/>
        <v>89.5</v>
      </c>
      <c r="F13" s="22">
        <f t="shared" si="1"/>
        <v>29.833333333333332</v>
      </c>
      <c r="G13" s="22">
        <f t="shared" si="1"/>
        <v>9.9444444444444446</v>
      </c>
    </row>
    <row r="14" spans="1:7" ht="22.5">
      <c r="A14" s="1" t="s">
        <v>12</v>
      </c>
      <c r="B14" s="2">
        <v>29.2</v>
      </c>
      <c r="C14" s="2">
        <v>29.7</v>
      </c>
      <c r="D14" s="2">
        <v>29.1</v>
      </c>
      <c r="E14" s="22">
        <f t="shared" si="0"/>
        <v>88</v>
      </c>
      <c r="F14" s="22">
        <f t="shared" si="1"/>
        <v>29.333333333333332</v>
      </c>
      <c r="G14" s="22">
        <f t="shared" si="1"/>
        <v>9.7777777777777768</v>
      </c>
    </row>
    <row r="15" spans="1:7" ht="22.5">
      <c r="A15" s="1" t="s">
        <v>10</v>
      </c>
      <c r="B15" s="2">
        <v>29.4</v>
      </c>
      <c r="C15" s="2">
        <v>29.8</v>
      </c>
      <c r="D15" s="2">
        <v>29.6</v>
      </c>
      <c r="E15" s="22">
        <f t="shared" si="0"/>
        <v>88.800000000000011</v>
      </c>
      <c r="F15" s="22">
        <f t="shared" si="1"/>
        <v>29.600000000000005</v>
      </c>
      <c r="G15" s="22">
        <f t="shared" si="1"/>
        <v>9.8666666666666689</v>
      </c>
    </row>
    <row r="16" spans="1:7">
      <c r="A16" s="1" t="s">
        <v>13</v>
      </c>
      <c r="B16" s="2">
        <v>29.6</v>
      </c>
      <c r="C16" s="2">
        <v>29.7</v>
      </c>
      <c r="D16" s="2">
        <v>29.3</v>
      </c>
      <c r="E16" s="22">
        <f t="shared" si="0"/>
        <v>88.6</v>
      </c>
      <c r="F16" s="22">
        <f t="shared" si="1"/>
        <v>29.533333333333331</v>
      </c>
      <c r="G16" s="22">
        <f t="shared" si="1"/>
        <v>9.8444444444444432</v>
      </c>
    </row>
  </sheetData>
  <phoneticPr fontId="13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A73F9-63C3-495D-B656-318CA6A7059B}">
  <dimension ref="A1:G16"/>
  <sheetViews>
    <sheetView workbookViewId="0">
      <selection sqref="A1:XFD1048576"/>
    </sheetView>
  </sheetViews>
  <sheetFormatPr defaultRowHeight="12.75"/>
  <cols>
    <col min="1" max="2" width="9.6640625" bestFit="1" customWidth="1"/>
    <col min="7" max="7" width="14.1640625" bestFit="1" customWidth="1"/>
  </cols>
  <sheetData>
    <row r="1" spans="1:7">
      <c r="A1" s="20" t="s">
        <v>41</v>
      </c>
      <c r="B1" s="20" t="s">
        <v>37</v>
      </c>
      <c r="C1" s="20" t="s">
        <v>38</v>
      </c>
      <c r="D1" s="20" t="s">
        <v>39</v>
      </c>
      <c r="E1" s="21" t="s">
        <v>42</v>
      </c>
      <c r="F1" s="19"/>
      <c r="G1" s="21" t="s">
        <v>40</v>
      </c>
    </row>
    <row r="2" spans="1:7" ht="22.5">
      <c r="A2" s="1" t="s">
        <v>0</v>
      </c>
      <c r="B2" s="2">
        <v>29.9</v>
      </c>
      <c r="C2" s="2">
        <v>29.8</v>
      </c>
      <c r="D2" s="2">
        <v>29.4</v>
      </c>
      <c r="E2" s="22">
        <f t="shared" ref="E2:E16" si="0">SUM(B2:D2)</f>
        <v>89.1</v>
      </c>
      <c r="F2" s="22">
        <f t="shared" ref="F2:G16" si="1">E2/3</f>
        <v>29.7</v>
      </c>
      <c r="G2" s="22">
        <f t="shared" si="1"/>
        <v>9.9</v>
      </c>
    </row>
    <row r="3" spans="1:7" ht="33.75">
      <c r="A3" s="1" t="s">
        <v>6</v>
      </c>
      <c r="B3" s="2">
        <v>29.4</v>
      </c>
      <c r="C3" s="2">
        <v>29.8</v>
      </c>
      <c r="D3" s="2">
        <v>29.5</v>
      </c>
      <c r="E3" s="22">
        <f t="shared" si="0"/>
        <v>88.7</v>
      </c>
      <c r="F3" s="22">
        <f t="shared" si="1"/>
        <v>29.566666666666666</v>
      </c>
      <c r="G3" s="22">
        <f t="shared" si="1"/>
        <v>9.8555555555555561</v>
      </c>
    </row>
    <row r="4" spans="1:7" ht="22.5">
      <c r="A4" s="1" t="s">
        <v>3</v>
      </c>
      <c r="B4" s="2">
        <v>29.9</v>
      </c>
      <c r="C4" s="2">
        <v>30</v>
      </c>
      <c r="D4" s="2">
        <v>30</v>
      </c>
      <c r="E4" s="22">
        <f t="shared" si="0"/>
        <v>89.9</v>
      </c>
      <c r="F4" s="22">
        <f t="shared" si="1"/>
        <v>29.966666666666669</v>
      </c>
      <c r="G4" s="22">
        <f t="shared" si="1"/>
        <v>9.9888888888888889</v>
      </c>
    </row>
    <row r="5" spans="1:7">
      <c r="A5" s="1" t="s">
        <v>14</v>
      </c>
      <c r="B5" s="2">
        <v>30</v>
      </c>
      <c r="C5" s="2">
        <v>29.9</v>
      </c>
      <c r="D5" s="2">
        <v>29.7</v>
      </c>
      <c r="E5" s="22">
        <f t="shared" si="0"/>
        <v>89.6</v>
      </c>
      <c r="F5" s="22">
        <f t="shared" si="1"/>
        <v>29.866666666666664</v>
      </c>
      <c r="G5" s="22">
        <f t="shared" si="1"/>
        <v>9.9555555555555539</v>
      </c>
    </row>
    <row r="6" spans="1:7" ht="22.5">
      <c r="A6" s="1" t="s">
        <v>1</v>
      </c>
      <c r="B6" s="2">
        <v>29.4</v>
      </c>
      <c r="C6" s="2">
        <v>30</v>
      </c>
      <c r="D6" s="2">
        <v>29.5</v>
      </c>
      <c r="E6" s="22">
        <f t="shared" si="0"/>
        <v>88.9</v>
      </c>
      <c r="F6" s="22">
        <f t="shared" si="1"/>
        <v>29.633333333333336</v>
      </c>
      <c r="G6" s="22">
        <f t="shared" si="1"/>
        <v>9.8777777777777782</v>
      </c>
    </row>
    <row r="7" spans="1:7" ht="22.5">
      <c r="A7" s="1" t="s">
        <v>5</v>
      </c>
      <c r="B7" s="2">
        <v>29.5</v>
      </c>
      <c r="C7" s="2">
        <v>29.8</v>
      </c>
      <c r="D7" s="2">
        <v>29.5</v>
      </c>
      <c r="E7" s="22">
        <f t="shared" si="0"/>
        <v>88.8</v>
      </c>
      <c r="F7" s="22">
        <f t="shared" si="1"/>
        <v>29.599999999999998</v>
      </c>
      <c r="G7" s="22">
        <f t="shared" si="1"/>
        <v>9.8666666666666654</v>
      </c>
    </row>
    <row r="8" spans="1:7" ht="22.5">
      <c r="A8" s="1" t="s">
        <v>9</v>
      </c>
      <c r="B8" s="2">
        <v>29.4</v>
      </c>
      <c r="C8" s="2">
        <v>29.7</v>
      </c>
      <c r="D8" s="2">
        <v>29.4</v>
      </c>
      <c r="E8" s="22">
        <f t="shared" si="0"/>
        <v>88.5</v>
      </c>
      <c r="F8" s="22">
        <f t="shared" si="1"/>
        <v>29.5</v>
      </c>
      <c r="G8" s="22">
        <f t="shared" si="1"/>
        <v>9.8333333333333339</v>
      </c>
    </row>
    <row r="9" spans="1:7" ht="22.5">
      <c r="A9" s="1" t="s">
        <v>7</v>
      </c>
      <c r="B9" s="2">
        <v>30</v>
      </c>
      <c r="C9" s="2">
        <v>30</v>
      </c>
      <c r="D9" s="2">
        <v>30</v>
      </c>
      <c r="E9" s="22">
        <f t="shared" si="0"/>
        <v>90</v>
      </c>
      <c r="F9" s="22">
        <f t="shared" si="1"/>
        <v>30</v>
      </c>
      <c r="G9" s="22">
        <f t="shared" si="1"/>
        <v>10</v>
      </c>
    </row>
    <row r="10" spans="1:7">
      <c r="A10" s="1" t="s">
        <v>11</v>
      </c>
      <c r="B10" s="2">
        <v>29.9</v>
      </c>
      <c r="C10" s="2">
        <v>29.8</v>
      </c>
      <c r="D10" s="2">
        <v>29.5</v>
      </c>
      <c r="E10" s="22">
        <f t="shared" si="0"/>
        <v>89.2</v>
      </c>
      <c r="F10" s="22">
        <f t="shared" si="1"/>
        <v>29.733333333333334</v>
      </c>
      <c r="G10" s="22">
        <f t="shared" si="1"/>
        <v>9.9111111111111114</v>
      </c>
    </row>
    <row r="11" spans="1:7" ht="22.5">
      <c r="A11" s="1" t="s">
        <v>8</v>
      </c>
      <c r="B11" s="2">
        <v>30</v>
      </c>
      <c r="C11" s="2">
        <v>29.8</v>
      </c>
      <c r="D11" s="2">
        <v>29.9</v>
      </c>
      <c r="E11" s="22">
        <f t="shared" si="0"/>
        <v>89.699999999999989</v>
      </c>
      <c r="F11" s="22">
        <f t="shared" si="1"/>
        <v>29.899999999999995</v>
      </c>
      <c r="G11" s="22">
        <f t="shared" si="1"/>
        <v>9.966666666666665</v>
      </c>
    </row>
    <row r="12" spans="1:7" ht="22.5">
      <c r="A12" s="1" t="s">
        <v>2</v>
      </c>
      <c r="B12" s="2">
        <v>30</v>
      </c>
      <c r="C12" s="2">
        <v>29.8</v>
      </c>
      <c r="D12" s="2">
        <v>29.7</v>
      </c>
      <c r="E12" s="22">
        <f t="shared" si="0"/>
        <v>89.5</v>
      </c>
      <c r="F12" s="22">
        <f t="shared" si="1"/>
        <v>29.833333333333332</v>
      </c>
      <c r="G12" s="22">
        <f t="shared" si="1"/>
        <v>9.9444444444444446</v>
      </c>
    </row>
    <row r="13" spans="1:7">
      <c r="A13" s="1" t="s">
        <v>4</v>
      </c>
      <c r="B13" s="2">
        <v>30</v>
      </c>
      <c r="C13" s="2">
        <v>30</v>
      </c>
      <c r="D13" s="2">
        <v>30</v>
      </c>
      <c r="E13" s="22">
        <f t="shared" si="0"/>
        <v>90</v>
      </c>
      <c r="F13" s="22">
        <f t="shared" si="1"/>
        <v>30</v>
      </c>
      <c r="G13" s="22">
        <f t="shared" si="1"/>
        <v>10</v>
      </c>
    </row>
    <row r="14" spans="1:7" ht="22.5">
      <c r="A14" s="1" t="s">
        <v>12</v>
      </c>
      <c r="B14" s="2">
        <v>29.2</v>
      </c>
      <c r="C14" s="2">
        <v>29.5</v>
      </c>
      <c r="D14" s="2">
        <v>29.7</v>
      </c>
      <c r="E14" s="22">
        <f t="shared" si="0"/>
        <v>88.4</v>
      </c>
      <c r="F14" s="22">
        <f t="shared" si="1"/>
        <v>29.466666666666669</v>
      </c>
      <c r="G14" s="22">
        <f t="shared" si="1"/>
        <v>9.8222222222222229</v>
      </c>
    </row>
    <row r="15" spans="1:7" ht="22.5">
      <c r="A15" s="1" t="s">
        <v>10</v>
      </c>
      <c r="B15" s="2">
        <v>30</v>
      </c>
      <c r="C15" s="2">
        <v>29.7</v>
      </c>
      <c r="D15" s="2">
        <v>29.7</v>
      </c>
      <c r="E15" s="22">
        <f t="shared" si="0"/>
        <v>89.4</v>
      </c>
      <c r="F15" s="22">
        <f t="shared" si="1"/>
        <v>29.8</v>
      </c>
      <c r="G15" s="22">
        <f t="shared" si="1"/>
        <v>9.9333333333333336</v>
      </c>
    </row>
    <row r="16" spans="1:7">
      <c r="A16" s="1" t="s">
        <v>13</v>
      </c>
      <c r="B16" s="2">
        <v>30</v>
      </c>
      <c r="C16" s="2">
        <v>29.9</v>
      </c>
      <c r="D16" s="2">
        <v>29.3</v>
      </c>
      <c r="E16" s="22">
        <f t="shared" si="0"/>
        <v>89.2</v>
      </c>
      <c r="F16" s="22">
        <f t="shared" si="1"/>
        <v>29.733333333333334</v>
      </c>
      <c r="G16" s="22">
        <f t="shared" si="1"/>
        <v>9.9111111111111114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4E741-8F5F-4AAE-A096-ED0C6A2E1E6B}">
  <dimension ref="A1:G16"/>
  <sheetViews>
    <sheetView workbookViewId="0">
      <selection sqref="A1:XFD1048576"/>
    </sheetView>
  </sheetViews>
  <sheetFormatPr defaultRowHeight="12.75"/>
  <cols>
    <col min="1" max="2" width="9.6640625" bestFit="1" customWidth="1"/>
    <col min="7" max="7" width="14.1640625" bestFit="1" customWidth="1"/>
  </cols>
  <sheetData>
    <row r="1" spans="1:7">
      <c r="A1" s="20" t="s">
        <v>41</v>
      </c>
      <c r="B1" s="20" t="s">
        <v>37</v>
      </c>
      <c r="C1" s="20" t="s">
        <v>38</v>
      </c>
      <c r="D1" s="20" t="s">
        <v>39</v>
      </c>
      <c r="E1" s="21" t="s">
        <v>42</v>
      </c>
      <c r="F1" s="19"/>
      <c r="G1" s="21" t="s">
        <v>40</v>
      </c>
    </row>
    <row r="2" spans="1:7" ht="22.5">
      <c r="A2" s="1" t="s">
        <v>0</v>
      </c>
      <c r="B2" s="2">
        <v>30</v>
      </c>
      <c r="C2" s="2">
        <v>30</v>
      </c>
      <c r="D2" s="2">
        <v>29.7</v>
      </c>
      <c r="E2" s="22">
        <f t="shared" ref="E2:E16" si="0">SUM(B2:D2)</f>
        <v>89.7</v>
      </c>
      <c r="F2" s="22">
        <f t="shared" ref="F2:G16" si="1">E2/3</f>
        <v>29.900000000000002</v>
      </c>
      <c r="G2" s="22">
        <f t="shared" si="1"/>
        <v>9.9666666666666668</v>
      </c>
    </row>
    <row r="3" spans="1:7" ht="33.75">
      <c r="A3" s="1" t="s">
        <v>6</v>
      </c>
      <c r="B3" s="2">
        <v>29.8</v>
      </c>
      <c r="C3" s="2">
        <v>29.7</v>
      </c>
      <c r="D3" s="2">
        <v>29.8</v>
      </c>
      <c r="E3" s="22">
        <f t="shared" si="0"/>
        <v>89.3</v>
      </c>
      <c r="F3" s="22">
        <f t="shared" si="1"/>
        <v>29.766666666666666</v>
      </c>
      <c r="G3" s="22">
        <f t="shared" si="1"/>
        <v>9.9222222222222225</v>
      </c>
    </row>
    <row r="4" spans="1:7" ht="22.5">
      <c r="A4" s="1" t="s">
        <v>3</v>
      </c>
      <c r="B4" s="2">
        <v>30</v>
      </c>
      <c r="C4" s="2">
        <v>30</v>
      </c>
      <c r="D4" s="2">
        <v>30</v>
      </c>
      <c r="E4" s="22">
        <f t="shared" si="0"/>
        <v>90</v>
      </c>
      <c r="F4" s="22">
        <f t="shared" si="1"/>
        <v>30</v>
      </c>
      <c r="G4" s="22">
        <f t="shared" si="1"/>
        <v>10</v>
      </c>
    </row>
    <row r="5" spans="1:7">
      <c r="A5" s="1" t="s">
        <v>14</v>
      </c>
      <c r="B5" s="2">
        <v>29.8</v>
      </c>
      <c r="C5" s="2">
        <v>30</v>
      </c>
      <c r="D5" s="2">
        <v>30</v>
      </c>
      <c r="E5" s="22">
        <f t="shared" si="0"/>
        <v>89.8</v>
      </c>
      <c r="F5" s="22">
        <f t="shared" si="1"/>
        <v>29.933333333333334</v>
      </c>
      <c r="G5" s="22">
        <f t="shared" si="1"/>
        <v>9.9777777777777779</v>
      </c>
    </row>
    <row r="6" spans="1:7" ht="22.5">
      <c r="A6" s="1" t="s">
        <v>1</v>
      </c>
      <c r="B6" s="2">
        <v>29.5</v>
      </c>
      <c r="C6" s="2">
        <v>29.8</v>
      </c>
      <c r="D6" s="2">
        <v>29.6</v>
      </c>
      <c r="E6" s="22">
        <f t="shared" si="0"/>
        <v>88.9</v>
      </c>
      <c r="F6" s="22">
        <f t="shared" si="1"/>
        <v>29.633333333333336</v>
      </c>
      <c r="G6" s="22">
        <f t="shared" si="1"/>
        <v>9.8777777777777782</v>
      </c>
    </row>
    <row r="7" spans="1:7" ht="22.5">
      <c r="A7" s="1" t="s">
        <v>5</v>
      </c>
      <c r="B7" s="2">
        <v>29.8</v>
      </c>
      <c r="C7" s="2">
        <v>29.9</v>
      </c>
      <c r="D7" s="2">
        <v>29.7</v>
      </c>
      <c r="E7" s="22">
        <f t="shared" si="0"/>
        <v>89.4</v>
      </c>
      <c r="F7" s="22">
        <f t="shared" si="1"/>
        <v>29.8</v>
      </c>
      <c r="G7" s="22">
        <f t="shared" si="1"/>
        <v>9.9333333333333336</v>
      </c>
    </row>
    <row r="8" spans="1:7" ht="22.5">
      <c r="A8" s="1" t="s">
        <v>9</v>
      </c>
      <c r="B8" s="2">
        <v>29.4</v>
      </c>
      <c r="C8" s="2">
        <v>29.7</v>
      </c>
      <c r="D8" s="2">
        <v>29.6</v>
      </c>
      <c r="E8" s="22">
        <f t="shared" si="0"/>
        <v>88.699999999999989</v>
      </c>
      <c r="F8" s="22">
        <f t="shared" si="1"/>
        <v>29.566666666666663</v>
      </c>
      <c r="G8" s="22">
        <f t="shared" si="1"/>
        <v>9.8555555555555543</v>
      </c>
    </row>
    <row r="9" spans="1:7" ht="22.5">
      <c r="A9" s="1" t="s">
        <v>7</v>
      </c>
      <c r="B9" s="2">
        <v>30</v>
      </c>
      <c r="C9" s="2">
        <v>30</v>
      </c>
      <c r="D9" s="2">
        <v>30</v>
      </c>
      <c r="E9" s="22">
        <f t="shared" si="0"/>
        <v>90</v>
      </c>
      <c r="F9" s="22">
        <f t="shared" si="1"/>
        <v>30</v>
      </c>
      <c r="G9" s="22">
        <f t="shared" si="1"/>
        <v>10</v>
      </c>
    </row>
    <row r="10" spans="1:7">
      <c r="A10" s="1" t="s">
        <v>11</v>
      </c>
      <c r="B10" s="2">
        <v>29.9</v>
      </c>
      <c r="C10" s="2">
        <v>29.9</v>
      </c>
      <c r="D10" s="2">
        <v>30</v>
      </c>
      <c r="E10" s="22">
        <f t="shared" si="0"/>
        <v>89.8</v>
      </c>
      <c r="F10" s="22">
        <f t="shared" si="1"/>
        <v>29.933333333333334</v>
      </c>
      <c r="G10" s="22">
        <f t="shared" si="1"/>
        <v>9.9777777777777779</v>
      </c>
    </row>
    <row r="11" spans="1:7" ht="22.5">
      <c r="A11" s="1" t="s">
        <v>8</v>
      </c>
      <c r="B11" s="2">
        <v>29.9</v>
      </c>
      <c r="C11" s="2">
        <v>29.7</v>
      </c>
      <c r="D11" s="2">
        <v>30</v>
      </c>
      <c r="E11" s="22">
        <f t="shared" si="0"/>
        <v>89.6</v>
      </c>
      <c r="F11" s="22">
        <f t="shared" si="1"/>
        <v>29.866666666666664</v>
      </c>
      <c r="G11" s="22">
        <f t="shared" si="1"/>
        <v>9.9555555555555539</v>
      </c>
    </row>
    <row r="12" spans="1:7" ht="22.5">
      <c r="A12" s="1" t="s">
        <v>2</v>
      </c>
      <c r="B12" s="2">
        <v>30</v>
      </c>
      <c r="C12" s="2">
        <v>30</v>
      </c>
      <c r="D12" s="2">
        <v>29.9</v>
      </c>
      <c r="E12" s="22">
        <f t="shared" si="0"/>
        <v>89.9</v>
      </c>
      <c r="F12" s="22">
        <f t="shared" si="1"/>
        <v>29.966666666666669</v>
      </c>
      <c r="G12" s="22">
        <f t="shared" si="1"/>
        <v>9.9888888888888889</v>
      </c>
    </row>
    <row r="13" spans="1:7">
      <c r="A13" s="1" t="s">
        <v>4</v>
      </c>
      <c r="B13" s="2">
        <v>29.8</v>
      </c>
      <c r="C13" s="2">
        <v>30</v>
      </c>
      <c r="D13" s="2">
        <v>30</v>
      </c>
      <c r="E13" s="22">
        <f t="shared" si="0"/>
        <v>89.8</v>
      </c>
      <c r="F13" s="22">
        <f t="shared" si="1"/>
        <v>29.933333333333334</v>
      </c>
      <c r="G13" s="22">
        <f t="shared" si="1"/>
        <v>9.9777777777777779</v>
      </c>
    </row>
    <row r="14" spans="1:7" ht="22.5">
      <c r="A14" s="1" t="s">
        <v>12</v>
      </c>
      <c r="B14" s="2">
        <v>29.3</v>
      </c>
      <c r="C14" s="2">
        <v>29.8</v>
      </c>
      <c r="D14" s="2">
        <v>29.4</v>
      </c>
      <c r="E14" s="22">
        <f t="shared" si="0"/>
        <v>88.5</v>
      </c>
      <c r="F14" s="22">
        <f t="shared" si="1"/>
        <v>29.5</v>
      </c>
      <c r="G14" s="22">
        <f t="shared" si="1"/>
        <v>9.8333333333333339</v>
      </c>
    </row>
    <row r="15" spans="1:7" ht="22.5">
      <c r="A15" s="1" t="s">
        <v>10</v>
      </c>
      <c r="B15" s="2">
        <v>30</v>
      </c>
      <c r="C15" s="2">
        <v>29.8</v>
      </c>
      <c r="D15" s="2">
        <v>29.9</v>
      </c>
      <c r="E15" s="22">
        <f t="shared" si="0"/>
        <v>89.699999999999989</v>
      </c>
      <c r="F15" s="22">
        <f t="shared" si="1"/>
        <v>29.899999999999995</v>
      </c>
      <c r="G15" s="22">
        <f t="shared" si="1"/>
        <v>9.966666666666665</v>
      </c>
    </row>
    <row r="16" spans="1:7">
      <c r="A16" s="1" t="s">
        <v>13</v>
      </c>
      <c r="B16" s="2">
        <v>29.8</v>
      </c>
      <c r="C16" s="2">
        <v>30</v>
      </c>
      <c r="D16" s="2">
        <v>30</v>
      </c>
      <c r="E16" s="22">
        <f t="shared" si="0"/>
        <v>89.8</v>
      </c>
      <c r="F16" s="22">
        <f t="shared" si="1"/>
        <v>29.933333333333334</v>
      </c>
      <c r="G16" s="22">
        <f t="shared" si="1"/>
        <v>9.9777777777777779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64AB1-7BAD-456A-9FD2-61DBA485FCBC}">
  <dimension ref="A1:G16"/>
  <sheetViews>
    <sheetView workbookViewId="0">
      <selection sqref="A1:XFD1048576"/>
    </sheetView>
  </sheetViews>
  <sheetFormatPr defaultRowHeight="12.75"/>
  <cols>
    <col min="1" max="2" width="9.6640625" bestFit="1" customWidth="1"/>
    <col min="7" max="7" width="14.1640625" bestFit="1" customWidth="1"/>
  </cols>
  <sheetData>
    <row r="1" spans="1:7">
      <c r="A1" s="20" t="s">
        <v>41</v>
      </c>
      <c r="B1" s="20" t="s">
        <v>37</v>
      </c>
      <c r="C1" s="20" t="s">
        <v>38</v>
      </c>
      <c r="D1" s="20" t="s">
        <v>39</v>
      </c>
      <c r="E1" s="21" t="s">
        <v>42</v>
      </c>
      <c r="F1" s="19"/>
      <c r="G1" s="21" t="s">
        <v>40</v>
      </c>
    </row>
    <row r="2" spans="1:7" ht="22.5">
      <c r="A2" s="1" t="s">
        <v>0</v>
      </c>
      <c r="B2" s="2">
        <v>29.9</v>
      </c>
      <c r="C2" s="2">
        <v>30</v>
      </c>
      <c r="D2" s="2">
        <v>29.9</v>
      </c>
      <c r="E2" s="22">
        <f t="shared" ref="E2:E16" si="0">SUM(B2:D2)</f>
        <v>89.8</v>
      </c>
      <c r="F2" s="22">
        <f t="shared" ref="F2:G16" si="1">E2/3</f>
        <v>29.933333333333334</v>
      </c>
      <c r="G2" s="22">
        <f t="shared" si="1"/>
        <v>9.9777777777777779</v>
      </c>
    </row>
    <row r="3" spans="1:7" ht="33.75">
      <c r="A3" s="1" t="s">
        <v>6</v>
      </c>
      <c r="B3" s="2">
        <v>29.4</v>
      </c>
      <c r="C3" s="2">
        <v>29.9</v>
      </c>
      <c r="D3" s="2">
        <v>29.9</v>
      </c>
      <c r="E3" s="22">
        <f t="shared" si="0"/>
        <v>89.199999999999989</v>
      </c>
      <c r="F3" s="22">
        <f t="shared" si="1"/>
        <v>29.733333333333331</v>
      </c>
      <c r="G3" s="22">
        <f t="shared" si="1"/>
        <v>9.9111111111111097</v>
      </c>
    </row>
    <row r="4" spans="1:7" ht="22.5">
      <c r="A4" s="1" t="s">
        <v>3</v>
      </c>
      <c r="B4" s="2">
        <v>30</v>
      </c>
      <c r="C4" s="2">
        <v>30</v>
      </c>
      <c r="D4" s="2">
        <v>30</v>
      </c>
      <c r="E4" s="22">
        <f t="shared" si="0"/>
        <v>90</v>
      </c>
      <c r="F4" s="22">
        <f t="shared" si="1"/>
        <v>30</v>
      </c>
      <c r="G4" s="22">
        <f t="shared" si="1"/>
        <v>10</v>
      </c>
    </row>
    <row r="5" spans="1:7">
      <c r="A5" s="1" t="s">
        <v>14</v>
      </c>
      <c r="B5" s="2">
        <v>30</v>
      </c>
      <c r="C5" s="2">
        <v>29.9</v>
      </c>
      <c r="D5" s="2">
        <v>30</v>
      </c>
      <c r="E5" s="22">
        <f t="shared" si="0"/>
        <v>89.9</v>
      </c>
      <c r="F5" s="22">
        <f t="shared" si="1"/>
        <v>29.966666666666669</v>
      </c>
      <c r="G5" s="22">
        <f t="shared" si="1"/>
        <v>9.9888888888888889</v>
      </c>
    </row>
    <row r="6" spans="1:7" ht="22.5">
      <c r="A6" s="1" t="s">
        <v>1</v>
      </c>
      <c r="B6" s="2">
        <v>29.9</v>
      </c>
      <c r="C6" s="2">
        <v>29.9</v>
      </c>
      <c r="D6" s="2">
        <v>29.7</v>
      </c>
      <c r="E6" s="22">
        <f t="shared" si="0"/>
        <v>89.5</v>
      </c>
      <c r="F6" s="22">
        <f t="shared" si="1"/>
        <v>29.833333333333332</v>
      </c>
      <c r="G6" s="22">
        <f t="shared" si="1"/>
        <v>9.9444444444444446</v>
      </c>
    </row>
    <row r="7" spans="1:7" ht="22.5">
      <c r="A7" s="1" t="s">
        <v>5</v>
      </c>
      <c r="B7" s="2">
        <v>29.9</v>
      </c>
      <c r="C7" s="2">
        <v>30</v>
      </c>
      <c r="D7" s="2">
        <v>30</v>
      </c>
      <c r="E7" s="22">
        <f t="shared" si="0"/>
        <v>89.9</v>
      </c>
      <c r="F7" s="22">
        <f t="shared" si="1"/>
        <v>29.966666666666669</v>
      </c>
      <c r="G7" s="22">
        <f t="shared" si="1"/>
        <v>9.9888888888888889</v>
      </c>
    </row>
    <row r="8" spans="1:7" ht="22.5">
      <c r="A8" s="1" t="s">
        <v>9</v>
      </c>
      <c r="B8" s="2">
        <v>29.6</v>
      </c>
      <c r="C8" s="2">
        <v>29.9</v>
      </c>
      <c r="D8" s="2">
        <v>30</v>
      </c>
      <c r="E8" s="22">
        <f t="shared" si="0"/>
        <v>89.5</v>
      </c>
      <c r="F8" s="22">
        <f t="shared" si="1"/>
        <v>29.833333333333332</v>
      </c>
      <c r="G8" s="22">
        <f t="shared" si="1"/>
        <v>9.9444444444444446</v>
      </c>
    </row>
    <row r="9" spans="1:7" ht="22.5">
      <c r="A9" s="1" t="s">
        <v>7</v>
      </c>
      <c r="B9" s="2">
        <v>30</v>
      </c>
      <c r="C9" s="2">
        <v>30</v>
      </c>
      <c r="D9" s="2">
        <v>29.9</v>
      </c>
      <c r="E9" s="22">
        <f t="shared" si="0"/>
        <v>89.9</v>
      </c>
      <c r="F9" s="22">
        <f t="shared" si="1"/>
        <v>29.966666666666669</v>
      </c>
      <c r="G9" s="22">
        <f t="shared" si="1"/>
        <v>9.9888888888888889</v>
      </c>
    </row>
    <row r="10" spans="1:7">
      <c r="A10" s="1" t="s">
        <v>11</v>
      </c>
      <c r="B10" s="2">
        <v>30</v>
      </c>
      <c r="C10" s="2">
        <v>29.9</v>
      </c>
      <c r="D10" s="2">
        <v>29.8</v>
      </c>
      <c r="E10" s="22">
        <f t="shared" si="0"/>
        <v>89.7</v>
      </c>
      <c r="F10" s="22">
        <f t="shared" si="1"/>
        <v>29.900000000000002</v>
      </c>
      <c r="G10" s="22">
        <f t="shared" si="1"/>
        <v>9.9666666666666668</v>
      </c>
    </row>
    <row r="11" spans="1:7" ht="22.5">
      <c r="A11" s="1" t="s">
        <v>8</v>
      </c>
      <c r="B11" s="2">
        <v>30</v>
      </c>
      <c r="C11" s="2">
        <v>30</v>
      </c>
      <c r="D11" s="2">
        <v>30</v>
      </c>
      <c r="E11" s="22">
        <f t="shared" si="0"/>
        <v>90</v>
      </c>
      <c r="F11" s="22">
        <f t="shared" si="1"/>
        <v>30</v>
      </c>
      <c r="G11" s="22">
        <f t="shared" si="1"/>
        <v>10</v>
      </c>
    </row>
    <row r="12" spans="1:7" ht="22.5">
      <c r="A12" s="1" t="s">
        <v>2</v>
      </c>
      <c r="B12" s="2">
        <v>29.9</v>
      </c>
      <c r="C12" s="2">
        <v>30</v>
      </c>
      <c r="D12" s="2">
        <v>30</v>
      </c>
      <c r="E12" s="22">
        <f t="shared" si="0"/>
        <v>89.9</v>
      </c>
      <c r="F12" s="22">
        <f t="shared" si="1"/>
        <v>29.966666666666669</v>
      </c>
      <c r="G12" s="22">
        <f t="shared" si="1"/>
        <v>9.9888888888888889</v>
      </c>
    </row>
    <row r="13" spans="1:7">
      <c r="A13" s="1" t="s">
        <v>4</v>
      </c>
      <c r="B13" s="2">
        <v>30</v>
      </c>
      <c r="C13" s="2">
        <v>30</v>
      </c>
      <c r="D13" s="2">
        <v>30</v>
      </c>
      <c r="E13" s="22">
        <f t="shared" si="0"/>
        <v>90</v>
      </c>
      <c r="F13" s="22">
        <f t="shared" si="1"/>
        <v>30</v>
      </c>
      <c r="G13" s="22">
        <f t="shared" si="1"/>
        <v>10</v>
      </c>
    </row>
    <row r="14" spans="1:7" ht="22.5">
      <c r="A14" s="1" t="s">
        <v>12</v>
      </c>
      <c r="B14" s="2">
        <v>29.4</v>
      </c>
      <c r="C14" s="2">
        <v>29.9</v>
      </c>
      <c r="D14" s="2">
        <v>29.6</v>
      </c>
      <c r="E14" s="22">
        <f t="shared" si="0"/>
        <v>88.9</v>
      </c>
      <c r="F14" s="22">
        <f t="shared" si="1"/>
        <v>29.633333333333336</v>
      </c>
      <c r="G14" s="22">
        <f t="shared" si="1"/>
        <v>9.8777777777777782</v>
      </c>
    </row>
    <row r="15" spans="1:7" ht="22.5">
      <c r="A15" s="1" t="s">
        <v>10</v>
      </c>
      <c r="B15" s="2">
        <v>29.9</v>
      </c>
      <c r="C15" s="2">
        <v>30</v>
      </c>
      <c r="D15" s="2">
        <v>30</v>
      </c>
      <c r="E15" s="22">
        <f t="shared" si="0"/>
        <v>89.9</v>
      </c>
      <c r="F15" s="22">
        <f t="shared" si="1"/>
        <v>29.966666666666669</v>
      </c>
      <c r="G15" s="22">
        <f t="shared" si="1"/>
        <v>9.9888888888888889</v>
      </c>
    </row>
    <row r="16" spans="1:7">
      <c r="A16" s="1" t="s">
        <v>13</v>
      </c>
      <c r="B16" s="2">
        <v>30</v>
      </c>
      <c r="C16" s="2">
        <v>30</v>
      </c>
      <c r="D16" s="2">
        <v>29.8</v>
      </c>
      <c r="E16" s="22">
        <f t="shared" si="0"/>
        <v>89.8</v>
      </c>
      <c r="F16" s="22">
        <f t="shared" si="1"/>
        <v>29.933333333333334</v>
      </c>
      <c r="G16" s="22">
        <f t="shared" si="1"/>
        <v>9.9777777777777779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3258B-34BA-4515-84FD-23FAFCFF517B}">
  <dimension ref="A1:G16"/>
  <sheetViews>
    <sheetView workbookViewId="0">
      <selection sqref="A1:XFD1048576"/>
    </sheetView>
  </sheetViews>
  <sheetFormatPr defaultRowHeight="12.75"/>
  <cols>
    <col min="1" max="2" width="9.6640625" bestFit="1" customWidth="1"/>
    <col min="7" max="7" width="14.1640625" bestFit="1" customWidth="1"/>
  </cols>
  <sheetData>
    <row r="1" spans="1:7">
      <c r="A1" s="20" t="s">
        <v>41</v>
      </c>
      <c r="B1" s="20" t="s">
        <v>37</v>
      </c>
      <c r="C1" s="20" t="s">
        <v>38</v>
      </c>
      <c r="D1" s="20" t="s">
        <v>39</v>
      </c>
      <c r="E1" s="21" t="s">
        <v>42</v>
      </c>
      <c r="F1" s="19"/>
      <c r="G1" s="21" t="s">
        <v>40</v>
      </c>
    </row>
    <row r="2" spans="1:7" ht="22.5">
      <c r="A2" s="1" t="s">
        <v>0</v>
      </c>
      <c r="B2" s="2">
        <v>29.7</v>
      </c>
      <c r="C2" s="2">
        <v>30</v>
      </c>
      <c r="D2" s="2">
        <v>29.5</v>
      </c>
      <c r="E2" s="22">
        <f t="shared" ref="E2:E16" si="0">SUM(B2:D2)</f>
        <v>89.2</v>
      </c>
      <c r="F2" s="22">
        <f t="shared" ref="F2:G16" si="1">E2/3</f>
        <v>29.733333333333334</v>
      </c>
      <c r="G2" s="22">
        <f t="shared" si="1"/>
        <v>9.9111111111111114</v>
      </c>
    </row>
    <row r="3" spans="1:7" ht="33.75">
      <c r="A3" s="1" t="s">
        <v>6</v>
      </c>
      <c r="B3" s="2">
        <v>29.3</v>
      </c>
      <c r="C3" s="2">
        <v>29.6</v>
      </c>
      <c r="D3" s="2">
        <v>29.3</v>
      </c>
      <c r="E3" s="22">
        <f t="shared" si="0"/>
        <v>88.2</v>
      </c>
      <c r="F3" s="22">
        <f t="shared" si="1"/>
        <v>29.400000000000002</v>
      </c>
      <c r="G3" s="22">
        <f t="shared" si="1"/>
        <v>9.8000000000000007</v>
      </c>
    </row>
    <row r="4" spans="1:7" ht="22.5">
      <c r="A4" s="1" t="s">
        <v>3</v>
      </c>
      <c r="B4" s="2">
        <v>30</v>
      </c>
      <c r="C4" s="2">
        <v>29.9</v>
      </c>
      <c r="D4" s="2">
        <v>29.9</v>
      </c>
      <c r="E4" s="22">
        <f t="shared" si="0"/>
        <v>89.8</v>
      </c>
      <c r="F4" s="22">
        <f t="shared" si="1"/>
        <v>29.933333333333334</v>
      </c>
      <c r="G4" s="22">
        <f t="shared" si="1"/>
        <v>9.9777777777777779</v>
      </c>
    </row>
    <row r="5" spans="1:7">
      <c r="A5" s="1" t="s">
        <v>14</v>
      </c>
      <c r="B5" s="2">
        <v>30</v>
      </c>
      <c r="C5" s="2">
        <v>30</v>
      </c>
      <c r="D5" s="2">
        <v>30</v>
      </c>
      <c r="E5" s="22">
        <f t="shared" si="0"/>
        <v>90</v>
      </c>
      <c r="F5" s="22">
        <f t="shared" si="1"/>
        <v>30</v>
      </c>
      <c r="G5" s="22">
        <f t="shared" si="1"/>
        <v>10</v>
      </c>
    </row>
    <row r="6" spans="1:7" ht="22.5">
      <c r="A6" s="1" t="s">
        <v>1</v>
      </c>
      <c r="B6" s="2">
        <v>29.4</v>
      </c>
      <c r="C6" s="2">
        <v>29.8</v>
      </c>
      <c r="D6" s="2">
        <v>29.2</v>
      </c>
      <c r="E6" s="22">
        <f t="shared" si="0"/>
        <v>88.4</v>
      </c>
      <c r="F6" s="22">
        <f t="shared" si="1"/>
        <v>29.466666666666669</v>
      </c>
      <c r="G6" s="22">
        <f t="shared" si="1"/>
        <v>9.8222222222222229</v>
      </c>
    </row>
    <row r="7" spans="1:7" ht="22.5">
      <c r="A7" s="1" t="s">
        <v>5</v>
      </c>
      <c r="B7" s="2">
        <v>29.6</v>
      </c>
      <c r="C7" s="2">
        <v>29.8</v>
      </c>
      <c r="D7" s="2">
        <v>29.6</v>
      </c>
      <c r="E7" s="22">
        <f t="shared" si="0"/>
        <v>89</v>
      </c>
      <c r="F7" s="22">
        <f t="shared" si="1"/>
        <v>29.666666666666668</v>
      </c>
      <c r="G7" s="22">
        <f t="shared" si="1"/>
        <v>9.8888888888888893</v>
      </c>
    </row>
    <row r="8" spans="1:7" ht="22.5">
      <c r="A8" s="1" t="s">
        <v>9</v>
      </c>
      <c r="B8" s="2">
        <v>29.6</v>
      </c>
      <c r="C8" s="2">
        <v>29.9</v>
      </c>
      <c r="D8" s="2">
        <v>29.6</v>
      </c>
      <c r="E8" s="22">
        <f t="shared" si="0"/>
        <v>89.1</v>
      </c>
      <c r="F8" s="22">
        <f t="shared" si="1"/>
        <v>29.7</v>
      </c>
      <c r="G8" s="22">
        <f t="shared" si="1"/>
        <v>9.9</v>
      </c>
    </row>
    <row r="9" spans="1:7" ht="22.5">
      <c r="A9" s="1" t="s">
        <v>7</v>
      </c>
      <c r="B9" s="2">
        <v>30</v>
      </c>
      <c r="C9" s="2">
        <v>30</v>
      </c>
      <c r="D9" s="2">
        <v>30</v>
      </c>
      <c r="E9" s="22">
        <f t="shared" si="0"/>
        <v>90</v>
      </c>
      <c r="F9" s="22">
        <f t="shared" si="1"/>
        <v>30</v>
      </c>
      <c r="G9" s="22">
        <f t="shared" si="1"/>
        <v>10</v>
      </c>
    </row>
    <row r="10" spans="1:7">
      <c r="A10" s="1" t="s">
        <v>11</v>
      </c>
      <c r="B10" s="2">
        <v>30</v>
      </c>
      <c r="C10" s="2">
        <v>29.8</v>
      </c>
      <c r="D10" s="2">
        <v>29.4</v>
      </c>
      <c r="E10" s="22">
        <f t="shared" si="0"/>
        <v>89.199999999999989</v>
      </c>
      <c r="F10" s="22">
        <f t="shared" si="1"/>
        <v>29.733333333333331</v>
      </c>
      <c r="G10" s="22">
        <f t="shared" si="1"/>
        <v>9.9111111111111097</v>
      </c>
    </row>
    <row r="11" spans="1:7" ht="22.5">
      <c r="A11" s="1" t="s">
        <v>8</v>
      </c>
      <c r="B11" s="2">
        <v>29.5</v>
      </c>
      <c r="C11" s="2">
        <v>29.9</v>
      </c>
      <c r="D11" s="2">
        <v>30</v>
      </c>
      <c r="E11" s="22">
        <f t="shared" si="0"/>
        <v>89.4</v>
      </c>
      <c r="F11" s="22">
        <f t="shared" si="1"/>
        <v>29.8</v>
      </c>
      <c r="G11" s="22">
        <f t="shared" si="1"/>
        <v>9.9333333333333336</v>
      </c>
    </row>
    <row r="12" spans="1:7" ht="22.5">
      <c r="A12" s="1" t="s">
        <v>2</v>
      </c>
      <c r="B12" s="2">
        <v>29.6</v>
      </c>
      <c r="C12" s="2">
        <v>30</v>
      </c>
      <c r="D12" s="2">
        <v>29.8</v>
      </c>
      <c r="E12" s="22">
        <f t="shared" si="0"/>
        <v>89.4</v>
      </c>
      <c r="F12" s="22">
        <f t="shared" si="1"/>
        <v>29.8</v>
      </c>
      <c r="G12" s="22">
        <f t="shared" si="1"/>
        <v>9.9333333333333336</v>
      </c>
    </row>
    <row r="13" spans="1:7">
      <c r="A13" s="1" t="s">
        <v>4</v>
      </c>
      <c r="B13" s="2">
        <v>29.5</v>
      </c>
      <c r="C13" s="2">
        <v>29.9</v>
      </c>
      <c r="D13" s="2">
        <v>29.9</v>
      </c>
      <c r="E13" s="22">
        <f t="shared" si="0"/>
        <v>89.3</v>
      </c>
      <c r="F13" s="22">
        <f t="shared" si="1"/>
        <v>29.766666666666666</v>
      </c>
      <c r="G13" s="22">
        <f t="shared" si="1"/>
        <v>9.9222222222222225</v>
      </c>
    </row>
    <row r="14" spans="1:7" ht="22.5">
      <c r="A14" s="1" t="s">
        <v>12</v>
      </c>
      <c r="B14" s="2">
        <v>29.7</v>
      </c>
      <c r="C14" s="2">
        <v>29.5</v>
      </c>
      <c r="D14" s="2">
        <v>29.1</v>
      </c>
      <c r="E14" s="22">
        <f t="shared" si="0"/>
        <v>88.300000000000011</v>
      </c>
      <c r="F14" s="22">
        <f t="shared" si="1"/>
        <v>29.433333333333337</v>
      </c>
      <c r="G14" s="22">
        <f t="shared" si="1"/>
        <v>9.8111111111111118</v>
      </c>
    </row>
    <row r="15" spans="1:7" ht="22.5">
      <c r="A15" s="1" t="s">
        <v>10</v>
      </c>
      <c r="B15" s="2">
        <v>29.6</v>
      </c>
      <c r="C15" s="2">
        <v>29.7</v>
      </c>
      <c r="D15" s="2">
        <v>29.4</v>
      </c>
      <c r="E15" s="22">
        <f t="shared" si="0"/>
        <v>88.699999999999989</v>
      </c>
      <c r="F15" s="22">
        <f t="shared" si="1"/>
        <v>29.566666666666663</v>
      </c>
      <c r="G15" s="22">
        <f t="shared" si="1"/>
        <v>9.8555555555555543</v>
      </c>
    </row>
    <row r="16" spans="1:7">
      <c r="A16" s="1" t="s">
        <v>13</v>
      </c>
      <c r="B16" s="2">
        <v>29.9</v>
      </c>
      <c r="C16" s="2">
        <v>29.9</v>
      </c>
      <c r="D16" s="2">
        <v>29.6</v>
      </c>
      <c r="E16" s="22">
        <f t="shared" si="0"/>
        <v>89.4</v>
      </c>
      <c r="F16" s="22">
        <f t="shared" si="1"/>
        <v>29.8</v>
      </c>
      <c r="G16" s="22">
        <f t="shared" si="1"/>
        <v>9.9333333333333336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52A9D-024B-4174-B2E0-4B3D884DBC47}">
  <dimension ref="A1:G16"/>
  <sheetViews>
    <sheetView workbookViewId="0">
      <selection activeCell="E7" sqref="E7"/>
    </sheetView>
  </sheetViews>
  <sheetFormatPr defaultRowHeight="12.75"/>
  <cols>
    <col min="1" max="2" width="9.6640625" bestFit="1" customWidth="1"/>
    <col min="7" max="7" width="14.1640625" bestFit="1" customWidth="1"/>
  </cols>
  <sheetData>
    <row r="1" spans="1:7">
      <c r="A1" s="20" t="s">
        <v>41</v>
      </c>
      <c r="B1" s="20" t="s">
        <v>37</v>
      </c>
      <c r="C1" s="20" t="s">
        <v>38</v>
      </c>
      <c r="D1" s="20" t="s">
        <v>39</v>
      </c>
      <c r="E1" s="21" t="s">
        <v>42</v>
      </c>
      <c r="F1" s="19"/>
      <c r="G1" s="21" t="s">
        <v>40</v>
      </c>
    </row>
    <row r="2" spans="1:7" ht="22.5">
      <c r="A2" s="1" t="s">
        <v>0</v>
      </c>
      <c r="B2" s="2">
        <v>30</v>
      </c>
      <c r="C2" s="2">
        <v>30</v>
      </c>
      <c r="D2" s="2">
        <v>30</v>
      </c>
      <c r="E2" s="22">
        <f t="shared" ref="E2:E16" si="0">SUM(B2:D2)</f>
        <v>90</v>
      </c>
      <c r="F2" s="22">
        <f t="shared" ref="F2:G16" si="1">E2/3</f>
        <v>30</v>
      </c>
      <c r="G2" s="22">
        <f t="shared" si="1"/>
        <v>10</v>
      </c>
    </row>
    <row r="3" spans="1:7" ht="33.75">
      <c r="A3" s="1" t="s">
        <v>6</v>
      </c>
      <c r="B3" s="2">
        <v>30</v>
      </c>
      <c r="C3" s="2">
        <v>29.8</v>
      </c>
      <c r="D3" s="2">
        <v>30</v>
      </c>
      <c r="E3" s="22">
        <f t="shared" si="0"/>
        <v>89.8</v>
      </c>
      <c r="F3" s="22">
        <f t="shared" si="1"/>
        <v>29.933333333333334</v>
      </c>
      <c r="G3" s="22">
        <f t="shared" si="1"/>
        <v>9.9777777777777779</v>
      </c>
    </row>
    <row r="4" spans="1:7" ht="22.5">
      <c r="A4" s="1" t="s">
        <v>3</v>
      </c>
      <c r="B4" s="2">
        <v>30</v>
      </c>
      <c r="C4" s="2">
        <v>30</v>
      </c>
      <c r="D4" s="2">
        <v>30</v>
      </c>
      <c r="E4" s="22">
        <f t="shared" si="0"/>
        <v>90</v>
      </c>
      <c r="F4" s="22">
        <f t="shared" si="1"/>
        <v>30</v>
      </c>
      <c r="G4" s="22">
        <f t="shared" si="1"/>
        <v>10</v>
      </c>
    </row>
    <row r="5" spans="1:7">
      <c r="A5" s="1" t="s">
        <v>14</v>
      </c>
      <c r="B5" s="2">
        <v>30</v>
      </c>
      <c r="C5" s="2">
        <v>30</v>
      </c>
      <c r="D5" s="2">
        <v>30</v>
      </c>
      <c r="E5" s="22">
        <f t="shared" si="0"/>
        <v>90</v>
      </c>
      <c r="F5" s="22">
        <f t="shared" si="1"/>
        <v>30</v>
      </c>
      <c r="G5" s="22">
        <f t="shared" si="1"/>
        <v>10</v>
      </c>
    </row>
    <row r="6" spans="1:7" ht="22.5">
      <c r="A6" s="1" t="s">
        <v>1</v>
      </c>
      <c r="B6" s="2">
        <v>29.8</v>
      </c>
      <c r="C6" s="2">
        <v>30</v>
      </c>
      <c r="D6" s="2">
        <v>29.8</v>
      </c>
      <c r="E6" s="22">
        <f t="shared" si="0"/>
        <v>89.6</v>
      </c>
      <c r="F6" s="22">
        <f t="shared" si="1"/>
        <v>29.866666666666664</v>
      </c>
      <c r="G6" s="22">
        <f t="shared" si="1"/>
        <v>9.9555555555555539</v>
      </c>
    </row>
    <row r="7" spans="1:7" ht="22.5">
      <c r="A7" s="1" t="s">
        <v>5</v>
      </c>
      <c r="B7" s="2">
        <v>29.7</v>
      </c>
      <c r="C7" s="2">
        <v>29.8</v>
      </c>
      <c r="D7" s="2">
        <v>29.7</v>
      </c>
      <c r="E7" s="22">
        <f t="shared" si="0"/>
        <v>89.2</v>
      </c>
      <c r="F7" s="22">
        <f t="shared" si="1"/>
        <v>29.733333333333334</v>
      </c>
      <c r="G7" s="22">
        <f t="shared" si="1"/>
        <v>9.9111111111111114</v>
      </c>
    </row>
    <row r="8" spans="1:7" ht="22.5">
      <c r="A8" s="1" t="s">
        <v>9</v>
      </c>
      <c r="B8" s="2">
        <v>30</v>
      </c>
      <c r="C8" s="2">
        <v>29.9</v>
      </c>
      <c r="D8" s="2">
        <v>29.9</v>
      </c>
      <c r="E8" s="22">
        <f t="shared" si="0"/>
        <v>89.8</v>
      </c>
      <c r="F8" s="22">
        <f t="shared" si="1"/>
        <v>29.933333333333334</v>
      </c>
      <c r="G8" s="22">
        <f t="shared" si="1"/>
        <v>9.9777777777777779</v>
      </c>
    </row>
    <row r="9" spans="1:7" ht="22.5">
      <c r="A9" s="1" t="s">
        <v>7</v>
      </c>
      <c r="B9" s="2">
        <v>30</v>
      </c>
      <c r="C9" s="2">
        <v>30</v>
      </c>
      <c r="D9" s="2">
        <v>30</v>
      </c>
      <c r="E9" s="22">
        <f t="shared" si="0"/>
        <v>90</v>
      </c>
      <c r="F9" s="22">
        <f t="shared" si="1"/>
        <v>30</v>
      </c>
      <c r="G9" s="22">
        <f t="shared" si="1"/>
        <v>10</v>
      </c>
    </row>
    <row r="10" spans="1:7">
      <c r="A10" s="1" t="s">
        <v>11</v>
      </c>
      <c r="B10" s="2">
        <v>30</v>
      </c>
      <c r="C10" s="2">
        <v>29.9</v>
      </c>
      <c r="D10" s="2">
        <v>29.9</v>
      </c>
      <c r="E10" s="22">
        <f t="shared" si="0"/>
        <v>89.8</v>
      </c>
      <c r="F10" s="22">
        <f t="shared" si="1"/>
        <v>29.933333333333334</v>
      </c>
      <c r="G10" s="22">
        <f t="shared" si="1"/>
        <v>9.9777777777777779</v>
      </c>
    </row>
    <row r="11" spans="1:7" ht="22.5">
      <c r="A11" s="1" t="s">
        <v>8</v>
      </c>
      <c r="B11" s="2">
        <v>30</v>
      </c>
      <c r="C11" s="2">
        <v>29.7</v>
      </c>
      <c r="D11" s="2">
        <v>29.9</v>
      </c>
      <c r="E11" s="22">
        <f t="shared" si="0"/>
        <v>89.6</v>
      </c>
      <c r="F11" s="22">
        <f t="shared" si="1"/>
        <v>29.866666666666664</v>
      </c>
      <c r="G11" s="22">
        <f t="shared" si="1"/>
        <v>9.9555555555555539</v>
      </c>
    </row>
    <row r="12" spans="1:7" ht="22.5">
      <c r="A12" s="1" t="s">
        <v>2</v>
      </c>
      <c r="B12" s="2">
        <v>30</v>
      </c>
      <c r="C12" s="2">
        <v>30</v>
      </c>
      <c r="D12" s="2">
        <v>30</v>
      </c>
      <c r="E12" s="22">
        <f t="shared" si="0"/>
        <v>90</v>
      </c>
      <c r="F12" s="22">
        <f t="shared" si="1"/>
        <v>30</v>
      </c>
      <c r="G12" s="22">
        <f t="shared" si="1"/>
        <v>10</v>
      </c>
    </row>
    <row r="13" spans="1:7">
      <c r="A13" s="1" t="s">
        <v>4</v>
      </c>
      <c r="B13" s="2">
        <v>30</v>
      </c>
      <c r="C13" s="2">
        <v>30</v>
      </c>
      <c r="D13" s="2">
        <v>30</v>
      </c>
      <c r="E13" s="22">
        <f t="shared" si="0"/>
        <v>90</v>
      </c>
      <c r="F13" s="22">
        <f t="shared" si="1"/>
        <v>30</v>
      </c>
      <c r="G13" s="22">
        <f t="shared" si="1"/>
        <v>10</v>
      </c>
    </row>
    <row r="14" spans="1:7" ht="22.5">
      <c r="A14" s="1" t="s">
        <v>12</v>
      </c>
      <c r="B14" s="2">
        <v>30</v>
      </c>
      <c r="C14" s="2">
        <v>29.9</v>
      </c>
      <c r="D14" s="2">
        <v>29.9</v>
      </c>
      <c r="E14" s="22">
        <f t="shared" si="0"/>
        <v>89.8</v>
      </c>
      <c r="F14" s="22">
        <f t="shared" si="1"/>
        <v>29.933333333333334</v>
      </c>
      <c r="G14" s="22">
        <f t="shared" si="1"/>
        <v>9.9777777777777779</v>
      </c>
    </row>
    <row r="15" spans="1:7" ht="22.5">
      <c r="A15" s="1" t="s">
        <v>10</v>
      </c>
      <c r="B15" s="2">
        <v>30</v>
      </c>
      <c r="C15" s="2">
        <v>30</v>
      </c>
      <c r="D15" s="2">
        <v>30</v>
      </c>
      <c r="E15" s="22">
        <f t="shared" si="0"/>
        <v>90</v>
      </c>
      <c r="F15" s="22">
        <f t="shared" si="1"/>
        <v>30</v>
      </c>
      <c r="G15" s="22">
        <f t="shared" si="1"/>
        <v>10</v>
      </c>
    </row>
    <row r="16" spans="1:7">
      <c r="A16" s="1" t="s">
        <v>13</v>
      </c>
      <c r="B16" s="2">
        <v>30</v>
      </c>
      <c r="C16" s="2">
        <v>30</v>
      </c>
      <c r="D16" s="2">
        <v>30</v>
      </c>
      <c r="E16" s="22">
        <f t="shared" si="0"/>
        <v>90</v>
      </c>
      <c r="F16" s="22">
        <f t="shared" si="1"/>
        <v>30</v>
      </c>
      <c r="G16" s="22">
        <f t="shared" si="1"/>
        <v>10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7EB6C-506F-4660-9AC1-081587198EBA}">
  <dimension ref="A1:G16"/>
  <sheetViews>
    <sheetView workbookViewId="0">
      <selection activeCell="B2" sqref="B2:D16"/>
    </sheetView>
  </sheetViews>
  <sheetFormatPr defaultRowHeight="12.75"/>
  <cols>
    <col min="1" max="2" width="9.6640625" bestFit="1" customWidth="1"/>
    <col min="7" max="7" width="14.1640625" bestFit="1" customWidth="1"/>
  </cols>
  <sheetData>
    <row r="1" spans="1:7">
      <c r="A1" s="20" t="s">
        <v>41</v>
      </c>
      <c r="B1" s="20" t="s">
        <v>37</v>
      </c>
      <c r="C1" s="20" t="s">
        <v>38</v>
      </c>
      <c r="D1" s="20" t="s">
        <v>39</v>
      </c>
      <c r="E1" s="21" t="s">
        <v>42</v>
      </c>
      <c r="F1" s="19"/>
      <c r="G1" s="21" t="s">
        <v>40</v>
      </c>
    </row>
    <row r="2" spans="1:7" ht="22.5">
      <c r="A2" s="1" t="s">
        <v>0</v>
      </c>
      <c r="B2" s="25">
        <v>29.6</v>
      </c>
      <c r="C2" s="25">
        <v>30</v>
      </c>
      <c r="D2" s="25">
        <v>29.6</v>
      </c>
      <c r="E2" s="22">
        <f t="shared" ref="E2:E16" si="0">SUM(B2:D2)</f>
        <v>89.2</v>
      </c>
      <c r="F2" s="22">
        <f t="shared" ref="F2:G16" si="1">E2/3</f>
        <v>29.733333333333334</v>
      </c>
      <c r="G2" s="22">
        <f t="shared" si="1"/>
        <v>9.9111111111111114</v>
      </c>
    </row>
    <row r="3" spans="1:7" ht="33.75">
      <c r="A3" s="1" t="s">
        <v>6</v>
      </c>
      <c r="B3" s="25">
        <v>29.6</v>
      </c>
      <c r="C3" s="25">
        <v>29.8</v>
      </c>
      <c r="D3" s="25">
        <v>29.4</v>
      </c>
      <c r="E3" s="22">
        <f t="shared" si="0"/>
        <v>88.800000000000011</v>
      </c>
      <c r="F3" s="22">
        <f t="shared" si="1"/>
        <v>29.600000000000005</v>
      </c>
      <c r="G3" s="22">
        <f t="shared" si="1"/>
        <v>9.8666666666666689</v>
      </c>
    </row>
    <row r="4" spans="1:7" ht="22.5">
      <c r="A4" s="1" t="s">
        <v>3</v>
      </c>
      <c r="B4" s="25">
        <v>29.7</v>
      </c>
      <c r="C4" s="25">
        <v>30</v>
      </c>
      <c r="D4" s="25">
        <v>30</v>
      </c>
      <c r="E4" s="22">
        <f t="shared" si="0"/>
        <v>89.7</v>
      </c>
      <c r="F4" s="22">
        <f t="shared" si="1"/>
        <v>29.900000000000002</v>
      </c>
      <c r="G4" s="22">
        <f t="shared" si="1"/>
        <v>9.9666666666666668</v>
      </c>
    </row>
    <row r="5" spans="1:7">
      <c r="A5" s="1" t="s">
        <v>14</v>
      </c>
      <c r="B5" s="25">
        <v>29.8</v>
      </c>
      <c r="C5" s="25">
        <v>29.7</v>
      </c>
      <c r="D5" s="25">
        <v>30</v>
      </c>
      <c r="E5" s="22">
        <f t="shared" si="0"/>
        <v>89.5</v>
      </c>
      <c r="F5" s="22">
        <f t="shared" si="1"/>
        <v>29.833333333333332</v>
      </c>
      <c r="G5" s="22">
        <f t="shared" si="1"/>
        <v>9.9444444444444446</v>
      </c>
    </row>
    <row r="6" spans="1:7" ht="22.5">
      <c r="A6" s="1" t="s">
        <v>1</v>
      </c>
      <c r="B6" s="25">
        <v>29.3</v>
      </c>
      <c r="C6" s="25">
        <v>29.9</v>
      </c>
      <c r="D6" s="25">
        <v>29.4</v>
      </c>
      <c r="E6" s="22">
        <f t="shared" si="0"/>
        <v>88.6</v>
      </c>
      <c r="F6" s="22">
        <f t="shared" si="1"/>
        <v>29.533333333333331</v>
      </c>
      <c r="G6" s="22">
        <f t="shared" si="1"/>
        <v>9.8444444444444432</v>
      </c>
    </row>
    <row r="7" spans="1:7" ht="22.5">
      <c r="A7" s="1" t="s">
        <v>5</v>
      </c>
      <c r="B7" s="25">
        <v>29.6</v>
      </c>
      <c r="C7" s="25">
        <v>29.9</v>
      </c>
      <c r="D7" s="25">
        <v>29.5</v>
      </c>
      <c r="E7" s="22">
        <f t="shared" si="0"/>
        <v>89</v>
      </c>
      <c r="F7" s="22">
        <f t="shared" si="1"/>
        <v>29.666666666666668</v>
      </c>
      <c r="G7" s="22">
        <f t="shared" si="1"/>
        <v>9.8888888888888893</v>
      </c>
    </row>
    <row r="8" spans="1:7" ht="22.5">
      <c r="A8" s="1" t="s">
        <v>9</v>
      </c>
      <c r="B8" s="25">
        <v>29.7</v>
      </c>
      <c r="C8" s="25">
        <v>29.7</v>
      </c>
      <c r="D8" s="25">
        <v>29.4</v>
      </c>
      <c r="E8" s="22">
        <f t="shared" si="0"/>
        <v>88.8</v>
      </c>
      <c r="F8" s="22">
        <f t="shared" si="1"/>
        <v>29.599999999999998</v>
      </c>
      <c r="G8" s="22">
        <f t="shared" si="1"/>
        <v>9.8666666666666654</v>
      </c>
    </row>
    <row r="9" spans="1:7" ht="22.5">
      <c r="A9" s="1" t="s">
        <v>7</v>
      </c>
      <c r="B9" s="25">
        <v>30</v>
      </c>
      <c r="C9" s="25">
        <v>30</v>
      </c>
      <c r="D9" s="25">
        <v>29.8</v>
      </c>
      <c r="E9" s="22">
        <f t="shared" si="0"/>
        <v>89.8</v>
      </c>
      <c r="F9" s="22">
        <f t="shared" si="1"/>
        <v>29.933333333333334</v>
      </c>
      <c r="G9" s="22">
        <f t="shared" si="1"/>
        <v>9.9777777777777779</v>
      </c>
    </row>
    <row r="10" spans="1:7">
      <c r="A10" s="1" t="s">
        <v>11</v>
      </c>
      <c r="B10" s="25">
        <v>29.8</v>
      </c>
      <c r="C10" s="25">
        <v>29.7</v>
      </c>
      <c r="D10" s="25">
        <v>29.4</v>
      </c>
      <c r="E10" s="22">
        <f t="shared" si="0"/>
        <v>88.9</v>
      </c>
      <c r="F10" s="22">
        <f t="shared" si="1"/>
        <v>29.633333333333336</v>
      </c>
      <c r="G10" s="22">
        <f t="shared" si="1"/>
        <v>9.8777777777777782</v>
      </c>
    </row>
    <row r="11" spans="1:7" ht="22.5">
      <c r="A11" s="1" t="s">
        <v>8</v>
      </c>
      <c r="B11" s="25">
        <v>29.8</v>
      </c>
      <c r="C11" s="25">
        <v>30</v>
      </c>
      <c r="D11" s="25">
        <v>29.8</v>
      </c>
      <c r="E11" s="22">
        <f t="shared" si="0"/>
        <v>89.6</v>
      </c>
      <c r="F11" s="22">
        <f t="shared" si="1"/>
        <v>29.866666666666664</v>
      </c>
      <c r="G11" s="22">
        <f t="shared" si="1"/>
        <v>9.9555555555555539</v>
      </c>
    </row>
    <row r="12" spans="1:7" ht="22.5">
      <c r="A12" s="1" t="s">
        <v>2</v>
      </c>
      <c r="B12" s="26">
        <v>30</v>
      </c>
      <c r="C12" s="26">
        <v>30</v>
      </c>
      <c r="D12" s="26">
        <v>30</v>
      </c>
      <c r="E12" s="22">
        <f t="shared" si="0"/>
        <v>90</v>
      </c>
      <c r="F12" s="22">
        <f t="shared" si="1"/>
        <v>30</v>
      </c>
      <c r="G12" s="22">
        <f t="shared" si="1"/>
        <v>10</v>
      </c>
    </row>
    <row r="13" spans="1:7">
      <c r="A13" s="1" t="s">
        <v>4</v>
      </c>
      <c r="B13" s="25">
        <v>29.8</v>
      </c>
      <c r="C13" s="25">
        <v>30</v>
      </c>
      <c r="D13" s="25">
        <v>30</v>
      </c>
      <c r="E13" s="22">
        <f t="shared" si="0"/>
        <v>89.8</v>
      </c>
      <c r="F13" s="22">
        <f t="shared" si="1"/>
        <v>29.933333333333334</v>
      </c>
      <c r="G13" s="22">
        <f t="shared" si="1"/>
        <v>9.9777777777777779</v>
      </c>
    </row>
    <row r="14" spans="1:7" ht="22.5">
      <c r="A14" s="1" t="s">
        <v>12</v>
      </c>
      <c r="B14" s="25">
        <v>29.5</v>
      </c>
      <c r="C14" s="25">
        <v>29.7</v>
      </c>
      <c r="D14" s="25">
        <v>29.4</v>
      </c>
      <c r="E14" s="22">
        <f t="shared" si="0"/>
        <v>88.6</v>
      </c>
      <c r="F14" s="22">
        <f t="shared" si="1"/>
        <v>29.533333333333331</v>
      </c>
      <c r="G14" s="22">
        <f t="shared" si="1"/>
        <v>9.8444444444444432</v>
      </c>
    </row>
    <row r="15" spans="1:7" ht="22.5">
      <c r="A15" s="1" t="s">
        <v>10</v>
      </c>
      <c r="B15" s="25">
        <v>29.9</v>
      </c>
      <c r="C15" s="25">
        <v>29.9</v>
      </c>
      <c r="D15" s="25">
        <v>30</v>
      </c>
      <c r="E15" s="22">
        <f t="shared" si="0"/>
        <v>89.8</v>
      </c>
      <c r="F15" s="22">
        <f t="shared" si="1"/>
        <v>29.933333333333334</v>
      </c>
      <c r="G15" s="22">
        <f t="shared" si="1"/>
        <v>9.9777777777777779</v>
      </c>
    </row>
    <row r="16" spans="1:7">
      <c r="A16" s="1" t="s">
        <v>13</v>
      </c>
      <c r="B16" s="25">
        <v>29.7</v>
      </c>
      <c r="C16" s="25">
        <v>29.8</v>
      </c>
      <c r="D16" s="25">
        <v>29.7</v>
      </c>
      <c r="E16" s="22">
        <f t="shared" si="0"/>
        <v>89.2</v>
      </c>
      <c r="F16" s="22">
        <f t="shared" si="1"/>
        <v>29.733333333333334</v>
      </c>
      <c r="G16" s="22">
        <f t="shared" si="1"/>
        <v>9.9111111111111114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TOTAL</vt:lpstr>
      <vt:lpstr>COREOGRAFIA</vt:lpstr>
      <vt:lpstr>MARCAÇÃO</vt:lpstr>
      <vt:lpstr>ANIMAÇÃO</vt:lpstr>
      <vt:lpstr>FIGURINO</vt:lpstr>
      <vt:lpstr>CASAL DE NOIVOS</vt:lpstr>
      <vt:lpstr>TRILHA SONORA</vt:lpstr>
      <vt:lpstr>TEMÁTICA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Tiago</cp:lastModifiedBy>
  <dcterms:created xsi:type="dcterms:W3CDTF">2026-03-12T22:02:07Z</dcterms:created>
  <dcterms:modified xsi:type="dcterms:W3CDTF">2026-05-01T14:58:30Z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2015-07-07T00:00:00Z</vt:filetime>
  </property>
  <property fmtid="{D5CDD505-2E9C-101B-9397-08002B2CF9AE}" pid="3" name="Creator">
    <vt:lpwstr>Calc</vt:lpwstr>
  </property>
  <property fmtid="{D5CDD505-2E9C-101B-9397-08002B2CF9AE}" pid="4" name="Producer">
    <vt:lpwstr>LibreOffice 25.2.3.2 (AARCH64) / LibreOffice Community</vt:lpwstr>
  </property>
  <property fmtid="{D5CDD505-2E9C-101B-9397-08002B2CF9AE}" pid="5" name="LastSaved">
    <vt:filetime>2015-07-07T00:00:00Z</vt:filetime>
  </property>
</Properties>
</file>
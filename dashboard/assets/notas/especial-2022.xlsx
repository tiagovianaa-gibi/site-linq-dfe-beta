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1_{9CCAB11C-892A-45C6-BF15-39F0B0C038CD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TOTAL" sheetId="7" r:id="rId1"/>
    <sheet name="COREOGRAFIA" sheetId="1" r:id="rId2"/>
    <sheet name="MARCAÇÃO" sheetId="2" r:id="rId3"/>
    <sheet name="ANIMAÇÃO_x0009_" sheetId="3" r:id="rId4"/>
    <sheet name="FIGURINO" sheetId="4" r:id="rId5"/>
    <sheet name="CASAL DE NOIVOS_x0009_" sheetId="5" r:id="rId6"/>
    <sheet name="TRILHA SONORA_x0009_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6" l="1"/>
  <c r="I15" i="6" s="1"/>
  <c r="H2" i="7"/>
  <c r="I2" i="7" s="1"/>
  <c r="J2" i="7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H15" i="5"/>
  <c r="I15" i="5" s="1"/>
  <c r="H14" i="5"/>
  <c r="I14" i="5" s="1"/>
  <c r="H13" i="5"/>
  <c r="I13" i="5" s="1"/>
  <c r="H12" i="5"/>
  <c r="I12" i="5" s="1"/>
  <c r="H11" i="5"/>
  <c r="I11" i="5" s="1"/>
  <c r="H10" i="5"/>
  <c r="I10" i="5" s="1"/>
  <c r="H9" i="5"/>
  <c r="I9" i="5" s="1"/>
  <c r="H8" i="5"/>
  <c r="I8" i="5" s="1"/>
  <c r="H7" i="5"/>
  <c r="I7" i="5" s="1"/>
  <c r="H6" i="5"/>
  <c r="I6" i="5" s="1"/>
  <c r="H5" i="5"/>
  <c r="I5" i="5" s="1"/>
  <c r="H4" i="5"/>
  <c r="I4" i="5" s="1"/>
  <c r="H3" i="5"/>
  <c r="I3" i="5" s="1"/>
  <c r="H2" i="5"/>
  <c r="I2" i="5" s="1"/>
  <c r="H15" i="4"/>
  <c r="I15" i="4" s="1"/>
  <c r="H14" i="4"/>
  <c r="I14" i="4" s="1"/>
  <c r="H13" i="4"/>
  <c r="I13" i="4" s="1"/>
  <c r="H12" i="4"/>
  <c r="I12" i="4" s="1"/>
  <c r="H11" i="4"/>
  <c r="I11" i="4" s="1"/>
  <c r="H10" i="4"/>
  <c r="I10" i="4" s="1"/>
  <c r="H9" i="4"/>
  <c r="I9" i="4" s="1"/>
  <c r="H8" i="4"/>
  <c r="I8" i="4" s="1"/>
  <c r="H7" i="4"/>
  <c r="I7" i="4" s="1"/>
  <c r="H6" i="4"/>
  <c r="I6" i="4" s="1"/>
  <c r="H5" i="4"/>
  <c r="I5" i="4" s="1"/>
  <c r="H4" i="4"/>
  <c r="I4" i="4" s="1"/>
  <c r="H3" i="4"/>
  <c r="I3" i="4" s="1"/>
  <c r="H2" i="4"/>
  <c r="I2" i="4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H15" i="2"/>
  <c r="I15" i="2" s="1"/>
  <c r="H14" i="2"/>
  <c r="I14" i="2" s="1"/>
  <c r="H13" i="2"/>
  <c r="I13" i="2" s="1"/>
  <c r="H12" i="2"/>
  <c r="I12" i="2" s="1"/>
  <c r="H11" i="2"/>
  <c r="I11" i="2" s="1"/>
  <c r="H10" i="2"/>
  <c r="I10" i="2" s="1"/>
  <c r="H9" i="2"/>
  <c r="I9" i="2" s="1"/>
  <c r="H8" i="2"/>
  <c r="I8" i="2" s="1"/>
  <c r="H7" i="2"/>
  <c r="I7" i="2" s="1"/>
  <c r="H6" i="2"/>
  <c r="I6" i="2" s="1"/>
  <c r="H5" i="2"/>
  <c r="I5" i="2" s="1"/>
  <c r="H4" i="2"/>
  <c r="I4" i="2" s="1"/>
  <c r="H3" i="2"/>
  <c r="I3" i="2" s="1"/>
  <c r="H2" i="2"/>
  <c r="I2" i="2" s="1"/>
  <c r="H15" i="1"/>
  <c r="I15" i="1" s="1"/>
  <c r="H3" i="1"/>
  <c r="I3" i="1"/>
  <c r="H4" i="1"/>
  <c r="I4" i="1" s="1"/>
  <c r="H5" i="1"/>
  <c r="I5" i="1" s="1"/>
  <c r="H6" i="1"/>
  <c r="I6" i="1"/>
  <c r="H7" i="1"/>
  <c r="I7" i="1"/>
  <c r="H8" i="1"/>
  <c r="I8" i="1"/>
  <c r="H9" i="1"/>
  <c r="I9" i="1" s="1"/>
  <c r="H10" i="1"/>
  <c r="I10" i="1" s="1"/>
  <c r="H11" i="1"/>
  <c r="I11" i="1"/>
  <c r="H12" i="1"/>
  <c r="I12" i="1"/>
  <c r="H13" i="1"/>
  <c r="I13" i="1" s="1"/>
  <c r="H14" i="1"/>
  <c r="I14" i="1" s="1"/>
  <c r="H2" i="1"/>
  <c r="I2" i="1" s="1"/>
  <c r="H15" i="7"/>
  <c r="H3" i="7"/>
  <c r="I3" i="7" s="1"/>
  <c r="J3" i="7" s="1"/>
  <c r="H4" i="7"/>
  <c r="I4" i="7" s="1"/>
  <c r="J4" i="7" s="1"/>
  <c r="H5" i="7"/>
  <c r="I5" i="7" s="1"/>
  <c r="J5" i="7" s="1"/>
  <c r="H6" i="7"/>
  <c r="I6" i="7" s="1"/>
  <c r="J6" i="7" s="1"/>
  <c r="H7" i="7"/>
  <c r="I7" i="7"/>
  <c r="J7" i="7"/>
  <c r="H8" i="7"/>
  <c r="I8" i="7" s="1"/>
  <c r="J8" i="7" s="1"/>
  <c r="H9" i="7"/>
  <c r="I9" i="7" s="1"/>
  <c r="J9" i="7" s="1"/>
  <c r="H10" i="7"/>
  <c r="I10" i="7"/>
  <c r="J10" i="7"/>
  <c r="H11" i="7"/>
  <c r="I11" i="7" s="1"/>
  <c r="J11" i="7" s="1"/>
  <c r="H12" i="7"/>
  <c r="I12" i="7"/>
  <c r="J12" i="7" s="1"/>
  <c r="H13" i="7"/>
  <c r="I13" i="7" s="1"/>
  <c r="J13" i="7" s="1"/>
  <c r="H14" i="7"/>
  <c r="I14" i="7"/>
  <c r="J14" i="7"/>
  <c r="I15" i="7"/>
  <c r="J15" i="7"/>
</calcChain>
</file>

<file path=xl/sharedStrings.xml><?xml version="1.0" encoding="utf-8"?>
<sst xmlns="http://schemas.openxmlformats.org/spreadsheetml/2006/main" count="147" uniqueCount="36">
  <si>
    <r>
      <rPr>
        <b/>
        <sz val="10"/>
        <rFont val="Calibri"/>
        <family val="1"/>
      </rPr>
      <t>JUNINA</t>
    </r>
  </si>
  <si>
    <r>
      <rPr>
        <b/>
        <sz val="10"/>
        <rFont val="Calibri"/>
        <family val="1"/>
      </rPr>
      <t>1ª ETAPA</t>
    </r>
  </si>
  <si>
    <r>
      <rPr>
        <b/>
        <sz val="10"/>
        <rFont val="Calibri"/>
        <family val="1"/>
      </rPr>
      <t>2ª ETAPA</t>
    </r>
  </si>
  <si>
    <r>
      <rPr>
        <b/>
        <sz val="10"/>
        <rFont val="Calibri"/>
        <family val="1"/>
      </rPr>
      <t>3ª ETAPA</t>
    </r>
  </si>
  <si>
    <r>
      <rPr>
        <b/>
        <sz val="10"/>
        <rFont val="Calibri"/>
        <family val="1"/>
      </rPr>
      <t>4ª ETAPA</t>
    </r>
  </si>
  <si>
    <r>
      <rPr>
        <b/>
        <sz val="10"/>
        <rFont val="Calibri"/>
        <family val="1"/>
      </rPr>
      <t>TOTAL</t>
    </r>
  </si>
  <si>
    <r>
      <rPr>
        <b/>
        <sz val="10"/>
        <rFont val="Calibri"/>
        <family val="1"/>
      </rPr>
      <t>SI BOBIÁ A GENTE PIMBA</t>
    </r>
  </si>
  <si>
    <r>
      <rPr>
        <b/>
        <sz val="10"/>
        <rFont val="Calibri"/>
        <family val="1"/>
      </rPr>
      <t>FORMIGA DA ROÇA</t>
    </r>
  </si>
  <si>
    <r>
      <rPr>
        <b/>
        <sz val="10"/>
        <rFont val="Calibri"/>
        <family val="1"/>
      </rPr>
      <t>PAIXÃO CANGAÇO</t>
    </r>
  </si>
  <si>
    <r>
      <rPr>
        <sz val="10"/>
        <rFont val="Calibri"/>
        <family val="1"/>
      </rPr>
      <t>ARROXA O NÓ</t>
    </r>
  </si>
  <si>
    <r>
      <rPr>
        <sz val="10"/>
        <rFont val="Calibri"/>
        <family val="1"/>
      </rPr>
      <t>SABUGO DE MILHO</t>
    </r>
  </si>
  <si>
    <r>
      <rPr>
        <sz val="10"/>
        <rFont val="Calibri"/>
        <family val="1"/>
      </rPr>
      <t>RASGA O FOLE</t>
    </r>
  </si>
  <si>
    <r>
      <rPr>
        <sz val="10"/>
        <rFont val="Calibri"/>
        <family val="1"/>
      </rPr>
      <t>RIBULIÇO</t>
    </r>
  </si>
  <si>
    <r>
      <rPr>
        <sz val="10"/>
        <rFont val="Calibri"/>
        <family val="1"/>
      </rPr>
      <t>ARRAIÁ DOS MATUTOS</t>
    </r>
  </si>
  <si>
    <r>
      <rPr>
        <sz val="10"/>
        <rFont val="Calibri"/>
        <family val="1"/>
      </rPr>
      <t>AMOR JUNINO</t>
    </r>
  </si>
  <si>
    <r>
      <rPr>
        <sz val="10"/>
        <rFont val="Calibri"/>
        <family val="1"/>
      </rPr>
      <t>SANFONA LASCADA</t>
    </r>
  </si>
  <si>
    <r>
      <rPr>
        <sz val="10"/>
        <rFont val="Calibri"/>
        <family val="1"/>
      </rPr>
      <t>XAMEGAR</t>
    </r>
  </si>
  <si>
    <r>
      <rPr>
        <sz val="10"/>
        <rFont val="Calibri"/>
        <family val="1"/>
      </rPr>
      <t>XÉM NHEM NHÉM</t>
    </r>
  </si>
  <si>
    <r>
      <rPr>
        <sz val="10"/>
        <rFont val="Calibri"/>
        <family val="1"/>
      </rPr>
      <t>PULA FOGUEIRA</t>
    </r>
  </si>
  <si>
    <r>
      <rPr>
        <sz val="10"/>
        <rFont val="Calibri"/>
        <family val="1"/>
      </rPr>
      <t>XIQUE XIQUE</t>
    </r>
  </si>
  <si>
    <r>
      <rPr>
        <sz val="10"/>
        <rFont val="Calibri"/>
        <family val="1"/>
      </rPr>
      <t>1ª ETAPA</t>
    </r>
  </si>
  <si>
    <r>
      <rPr>
        <sz val="10"/>
        <rFont val="Calibri"/>
        <family val="1"/>
      </rPr>
      <t>2ª ETAPA</t>
    </r>
  </si>
  <si>
    <r>
      <rPr>
        <sz val="10"/>
        <rFont val="Calibri"/>
        <family val="1"/>
      </rPr>
      <t>3ª ETAPA</t>
    </r>
  </si>
  <si>
    <r>
      <rPr>
        <sz val="10"/>
        <rFont val="Calibri"/>
        <family val="1"/>
      </rPr>
      <t>4ª ETAPA</t>
    </r>
  </si>
  <si>
    <r>
      <rPr>
        <sz val="10"/>
        <rFont val="Calibri"/>
        <family val="1"/>
      </rPr>
      <t>TOTAL</t>
    </r>
  </si>
  <si>
    <r>
      <rPr>
        <sz val="10"/>
        <rFont val="Calibri"/>
        <family val="1"/>
      </rPr>
      <t>SI BOBIÁ A GENTE PIMBA</t>
    </r>
  </si>
  <si>
    <r>
      <rPr>
        <sz val="10"/>
        <rFont val="Calibri"/>
        <family val="1"/>
      </rPr>
      <t>PAIXÃO CANGAÇO</t>
    </r>
  </si>
  <si>
    <r>
      <rPr>
        <sz val="10"/>
        <rFont val="Calibri"/>
        <family val="1"/>
      </rPr>
      <t>FORMIGA DA ROÇA</t>
    </r>
  </si>
  <si>
    <r>
      <rPr>
        <b/>
        <sz val="10"/>
        <rFont val="Calibri"/>
        <family val="1"/>
      </rPr>
      <t>ARROXA O NÓ</t>
    </r>
  </si>
  <si>
    <t>MARCAÇÃO</t>
  </si>
  <si>
    <t>ANIMAÇÃO</t>
  </si>
  <si>
    <t>FIGURINO</t>
  </si>
  <si>
    <t>CASAL DE NOIVOS</t>
  </si>
  <si>
    <t>TRILHA SONORA</t>
  </si>
  <si>
    <t>COREOGRAFIA</t>
  </si>
  <si>
    <t>MÉDIA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</si>
</sst>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0"/>
      <color rgb="FF000000"/>
      <name val="Times New Roman"/>
      <charset val="204"/>
    </font>
    <font>
      <b/>
      <sz val="10"/>
      <name val="Calibri"/>
    </font>
    <font>
      <b/>
      <sz val="10"/>
      <color rgb="FF000000"/>
      <name val="Calibri"/>
      <family val="2"/>
    </font>
    <font>
      <b/>
      <sz val="10"/>
      <color rgb="FFFFFFFF"/>
      <name val="Calibri"/>
      <family val="2"/>
    </font>
    <font>
      <sz val="10"/>
      <color rgb="FF000000"/>
      <name val="Calibri"/>
      <family val="2"/>
    </font>
    <font>
      <sz val="10"/>
      <name val="Calibri"/>
    </font>
    <font>
      <sz val="10"/>
      <color rgb="FFFFFFFF"/>
      <name val="Calibri"/>
      <family val="2"/>
    </font>
    <font>
      <b/>
      <sz val="7"/>
      <color rgb="FF000000"/>
      <name val="Calibri"/>
      <family val="2"/>
    </font>
    <font>
      <b/>
      <sz val="10"/>
      <name val="Calibri"/>
      <family val="1"/>
    </font>
    <font>
      <sz val="10"/>
      <name val="Calibri"/>
      <family val="1"/>
    </font>
  </fonts>
  <fills count="10">
    <fill>
      <patternFill patternType="none"/>
    </fill>
    <fill>
      <patternFill patternType="gray125"/>
    </fill>
    <fill>
      <patternFill patternType="solid">
        <fgColor rgb="FFFFD966"/>
      </patternFill>
    </fill>
    <fill>
      <patternFill patternType="solid">
        <fgColor rgb="FFFFFF00"/>
      </patternFill>
    </fill>
    <fill>
      <patternFill patternType="solid">
        <fgColor rgb="FFD9E1F2"/>
      </patternFill>
    </fill>
    <fill>
      <patternFill patternType="solid">
        <fgColor rgb="FF002060"/>
      </patternFill>
    </fill>
    <fill>
      <patternFill patternType="solid">
        <fgColor rgb="FFF8CBAD"/>
      </patternFill>
    </fill>
    <fill>
      <patternFill patternType="solid">
        <fgColor rgb="FFFF0000"/>
      </patternFill>
    </fill>
    <fill>
      <patternFill patternType="solid">
        <fgColor rgb="FFDDEBF7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wrapText="1"/>
    </xf>
    <xf numFmtId="0" fontId="1" fillId="2" borderId="2" xfId="0" applyFont="1" applyFill="1" applyBorder="1" applyAlignment="1">
      <alignment horizontal="center" vertical="top" wrapText="1"/>
    </xf>
    <xf numFmtId="0" fontId="1" fillId="2" borderId="2" xfId="0" applyFont="1" applyFill="1" applyBorder="1" applyAlignment="1">
      <alignment horizontal="left" vertical="top" wrapText="1" indent="1"/>
    </xf>
    <xf numFmtId="0" fontId="1" fillId="3" borderId="2" xfId="0" applyFont="1" applyFill="1" applyBorder="1" applyAlignment="1">
      <alignment horizontal="left" vertical="top" wrapText="1" indent="2"/>
    </xf>
    <xf numFmtId="1" fontId="2" fillId="4" borderId="2" xfId="0" applyNumberFormat="1" applyFont="1" applyFill="1" applyBorder="1" applyAlignment="1">
      <alignment horizontal="center" vertical="top" shrinkToFit="1"/>
    </xf>
    <xf numFmtId="0" fontId="1" fillId="4" borderId="2" xfId="0" applyFont="1" applyFill="1" applyBorder="1" applyAlignment="1">
      <alignment horizontal="left" vertical="top" wrapText="1"/>
    </xf>
    <xf numFmtId="1" fontId="4" fillId="0" borderId="2" xfId="0" applyNumberFormat="1" applyFont="1" applyBorder="1" applyAlignment="1">
      <alignment horizontal="center" vertical="top" shrinkToFit="1"/>
    </xf>
    <xf numFmtId="0" fontId="5" fillId="0" borderId="2" xfId="0" applyFont="1" applyBorder="1" applyAlignment="1">
      <alignment horizontal="left" vertical="top" wrapText="1"/>
    </xf>
    <xf numFmtId="1" fontId="4" fillId="6" borderId="2" xfId="0" applyNumberFormat="1" applyFont="1" applyFill="1" applyBorder="1" applyAlignment="1">
      <alignment horizontal="center" vertical="top" shrinkToFit="1"/>
    </xf>
    <xf numFmtId="0" fontId="5" fillId="6" borderId="2" xfId="0" applyFont="1" applyFill="1" applyBorder="1" applyAlignment="1">
      <alignment horizontal="left" vertical="top" wrapText="1"/>
    </xf>
    <xf numFmtId="0" fontId="5" fillId="0" borderId="2" xfId="0" applyFont="1" applyBorder="1" applyAlignment="1">
      <alignment horizontal="left" vertical="top" wrapText="1" indent="1"/>
    </xf>
    <xf numFmtId="0" fontId="5" fillId="0" borderId="2" xfId="0" applyFont="1" applyBorder="1" applyAlignment="1">
      <alignment horizontal="left" vertical="top" wrapText="1" indent="2"/>
    </xf>
    <xf numFmtId="1" fontId="2" fillId="3" borderId="2" xfId="0" applyNumberFormat="1" applyFont="1" applyFill="1" applyBorder="1" applyAlignment="1">
      <alignment horizontal="center" vertical="top" shrinkToFit="1"/>
    </xf>
    <xf numFmtId="0" fontId="1" fillId="3" borderId="2" xfId="0" applyFont="1" applyFill="1" applyBorder="1" applyAlignment="1">
      <alignment horizontal="left" vertical="top" wrapText="1"/>
    </xf>
    <xf numFmtId="0" fontId="0" fillId="9" borderId="3" xfId="0" applyFill="1" applyBorder="1" applyAlignment="1">
      <alignment horizontal="left" vertical="top"/>
    </xf>
    <xf numFmtId="164" fontId="2" fillId="4" borderId="2" xfId="0" applyNumberFormat="1" applyFont="1" applyFill="1" applyBorder="1" applyAlignment="1">
      <alignment horizontal="right" vertical="top" shrinkToFit="1"/>
    </xf>
    <xf numFmtId="164" fontId="3" fillId="5" borderId="2" xfId="0" applyNumberFormat="1" applyFont="1" applyFill="1" applyBorder="1" applyAlignment="1">
      <alignment horizontal="right" vertical="top" shrinkToFit="1"/>
    </xf>
    <xf numFmtId="164" fontId="4" fillId="0" borderId="2" xfId="0" applyNumberFormat="1" applyFont="1" applyBorder="1" applyAlignment="1">
      <alignment horizontal="right" vertical="top" shrinkToFit="1"/>
    </xf>
    <xf numFmtId="164" fontId="4" fillId="3" borderId="2" xfId="0" applyNumberFormat="1" applyFont="1" applyFill="1" applyBorder="1" applyAlignment="1">
      <alignment horizontal="right" vertical="top" shrinkToFit="1"/>
    </xf>
    <xf numFmtId="164" fontId="4" fillId="6" borderId="2" xfId="0" applyNumberFormat="1" applyFont="1" applyFill="1" applyBorder="1" applyAlignment="1">
      <alignment horizontal="right" vertical="top" shrinkToFit="1"/>
    </xf>
    <xf numFmtId="164" fontId="6" fillId="7" borderId="2" xfId="0" applyNumberFormat="1" applyFont="1" applyFill="1" applyBorder="1" applyAlignment="1">
      <alignment horizontal="right" vertical="top" shrinkToFit="1"/>
    </xf>
    <xf numFmtId="164" fontId="7" fillId="3" borderId="2" xfId="0" applyNumberFormat="1" applyFont="1" applyFill="1" applyBorder="1" applyAlignment="1">
      <alignment horizontal="right" vertical="top" shrinkToFit="1"/>
    </xf>
    <xf numFmtId="164" fontId="2" fillId="3" borderId="2" xfId="0" applyNumberFormat="1" applyFont="1" applyFill="1" applyBorder="1" applyAlignment="1">
      <alignment horizontal="right" vertical="top" shrinkToFit="1"/>
    </xf>
    <xf numFmtId="164" fontId="7" fillId="8" borderId="2" xfId="0" applyNumberFormat="1" applyFont="1" applyFill="1" applyBorder="1" applyAlignment="1">
      <alignment horizontal="right" vertical="top" shrinkToFi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50F35-5806-4DA5-8421-042CF59BCCC2}">
  <dimension ref="A1:J15"/>
  <sheetViews>
    <sheetView workbookViewId="0">
      <selection activeCell="I22" sqref="I22"/>
    </sheetView>
  </sheetViews>
  <sheetFormatPr defaultColWidth="17.83203125" defaultRowHeight="12.75" x14ac:dyDescent="0.2"/>
  <cols>
    <col min="1" max="1" width="3.5" bestFit="1" customWidth="1"/>
    <col min="2" max="2" width="27" customWidth="1"/>
    <col min="3" max="6" width="11" bestFit="1" customWidth="1"/>
    <col min="7" max="7" width="10" bestFit="1" customWidth="1"/>
  </cols>
  <sheetData>
    <row r="1" spans="1:10" x14ac:dyDescent="0.2">
      <c r="A1" s="1"/>
      <c r="B1" s="2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4" t="s">
        <v>5</v>
      </c>
      <c r="J1" s="15" t="s">
        <v>35</v>
      </c>
    </row>
    <row r="2" spans="1:10" x14ac:dyDescent="0.2">
      <c r="A2" s="5">
        <v>1</v>
      </c>
      <c r="B2" s="6" t="s">
        <v>6</v>
      </c>
      <c r="C2" s="16">
        <v>179.5</v>
      </c>
      <c r="D2" s="16">
        <v>179.9</v>
      </c>
      <c r="E2" s="16">
        <v>179.9</v>
      </c>
      <c r="F2" s="16">
        <v>180</v>
      </c>
      <c r="G2" s="17">
        <v>719.3</v>
      </c>
      <c r="H2">
        <f t="shared" ref="H2:H15" si="0">G2/COUNTIF(C2:F2,"&lt;&gt;0")</f>
        <v>179.82499999999999</v>
      </c>
      <c r="I2">
        <f t="shared" ref="I2:I15" si="1">H2/6</f>
        <v>29.970833333333331</v>
      </c>
      <c r="J2">
        <f t="shared" ref="J2:J15" si="2">I2/3</f>
        <v>9.9902777777777771</v>
      </c>
    </row>
    <row r="3" spans="1:10" x14ac:dyDescent="0.2">
      <c r="A3" s="5">
        <v>2</v>
      </c>
      <c r="B3" s="6" t="s">
        <v>7</v>
      </c>
      <c r="C3" s="16">
        <v>179.4</v>
      </c>
      <c r="D3" s="16">
        <v>179.9</v>
      </c>
      <c r="E3" s="16">
        <v>179.8</v>
      </c>
      <c r="F3" s="16">
        <v>179.9</v>
      </c>
      <c r="G3" s="17">
        <v>719</v>
      </c>
      <c r="H3">
        <f t="shared" si="0"/>
        <v>179.75</v>
      </c>
      <c r="I3">
        <f t="shared" si="1"/>
        <v>29.958333333333332</v>
      </c>
      <c r="J3">
        <f t="shared" si="2"/>
        <v>9.9861111111111107</v>
      </c>
    </row>
    <row r="4" spans="1:10" x14ac:dyDescent="0.2">
      <c r="A4" s="5">
        <v>3</v>
      </c>
      <c r="B4" s="6" t="s">
        <v>8</v>
      </c>
      <c r="C4" s="16">
        <v>178.5</v>
      </c>
      <c r="D4" s="16">
        <v>178.8</v>
      </c>
      <c r="E4" s="16">
        <v>179.9</v>
      </c>
      <c r="F4" s="16">
        <v>180</v>
      </c>
      <c r="G4" s="17">
        <v>717.2</v>
      </c>
      <c r="H4">
        <f t="shared" si="0"/>
        <v>179.3</v>
      </c>
      <c r="I4">
        <f t="shared" si="1"/>
        <v>29.883333333333336</v>
      </c>
      <c r="J4">
        <f t="shared" si="2"/>
        <v>9.9611111111111121</v>
      </c>
    </row>
    <row r="5" spans="1:10" x14ac:dyDescent="0.2">
      <c r="A5" s="7">
        <v>4</v>
      </c>
      <c r="B5" s="8" t="s">
        <v>9</v>
      </c>
      <c r="C5" s="18">
        <v>178.4</v>
      </c>
      <c r="D5" s="18">
        <v>179.8</v>
      </c>
      <c r="E5" s="18">
        <v>178.6</v>
      </c>
      <c r="F5" s="18">
        <v>179.7</v>
      </c>
      <c r="G5" s="19">
        <v>716.5</v>
      </c>
      <c r="H5">
        <f t="shared" si="0"/>
        <v>179.125</v>
      </c>
      <c r="I5">
        <f t="shared" si="1"/>
        <v>29.854166666666668</v>
      </c>
      <c r="J5">
        <f t="shared" si="2"/>
        <v>9.9513888888888893</v>
      </c>
    </row>
    <row r="6" spans="1:10" x14ac:dyDescent="0.2">
      <c r="A6" s="7">
        <v>5</v>
      </c>
      <c r="B6" s="8" t="s">
        <v>10</v>
      </c>
      <c r="C6" s="18">
        <v>177.2</v>
      </c>
      <c r="D6" s="18">
        <v>178.6</v>
      </c>
      <c r="E6" s="18">
        <v>179.8</v>
      </c>
      <c r="F6" s="18">
        <v>179.9</v>
      </c>
      <c r="G6" s="19">
        <v>715.5</v>
      </c>
      <c r="H6">
        <f t="shared" si="0"/>
        <v>178.875</v>
      </c>
      <c r="I6">
        <f t="shared" si="1"/>
        <v>29.8125</v>
      </c>
      <c r="J6">
        <f t="shared" si="2"/>
        <v>9.9375</v>
      </c>
    </row>
    <row r="7" spans="1:10" x14ac:dyDescent="0.2">
      <c r="A7" s="7">
        <v>6</v>
      </c>
      <c r="B7" s="8" t="s">
        <v>11</v>
      </c>
      <c r="C7" s="18">
        <v>177.1</v>
      </c>
      <c r="D7" s="18">
        <v>178.8</v>
      </c>
      <c r="E7" s="18">
        <v>178.6</v>
      </c>
      <c r="F7" s="18">
        <v>178.8</v>
      </c>
      <c r="G7" s="19">
        <v>713.3</v>
      </c>
      <c r="H7">
        <f t="shared" si="0"/>
        <v>178.32499999999999</v>
      </c>
      <c r="I7">
        <f t="shared" si="1"/>
        <v>29.720833333333331</v>
      </c>
      <c r="J7">
        <f t="shared" si="2"/>
        <v>9.9069444444444432</v>
      </c>
    </row>
    <row r="8" spans="1:10" x14ac:dyDescent="0.2">
      <c r="A8" s="7">
        <v>7</v>
      </c>
      <c r="B8" s="8" t="s">
        <v>12</v>
      </c>
      <c r="C8" s="18">
        <v>177.2</v>
      </c>
      <c r="D8" s="18">
        <v>178</v>
      </c>
      <c r="E8" s="18">
        <v>178.6</v>
      </c>
      <c r="F8" s="18">
        <v>179.2</v>
      </c>
      <c r="G8" s="19">
        <v>713</v>
      </c>
      <c r="H8">
        <f t="shared" si="0"/>
        <v>178.25</v>
      </c>
      <c r="I8">
        <f t="shared" si="1"/>
        <v>29.708333333333332</v>
      </c>
      <c r="J8">
        <f t="shared" si="2"/>
        <v>9.9027777777777768</v>
      </c>
    </row>
    <row r="9" spans="1:10" x14ac:dyDescent="0.2">
      <c r="A9" s="7">
        <v>8</v>
      </c>
      <c r="B9" s="8" t="s">
        <v>13</v>
      </c>
      <c r="C9" s="18">
        <v>176.3</v>
      </c>
      <c r="D9" s="18">
        <v>177.4</v>
      </c>
      <c r="E9" s="18">
        <v>178.9</v>
      </c>
      <c r="F9" s="18">
        <v>179</v>
      </c>
      <c r="G9" s="19">
        <v>711.6</v>
      </c>
      <c r="H9">
        <f t="shared" si="0"/>
        <v>177.9</v>
      </c>
      <c r="I9">
        <f t="shared" si="1"/>
        <v>29.650000000000002</v>
      </c>
      <c r="J9">
        <f t="shared" si="2"/>
        <v>9.8833333333333346</v>
      </c>
    </row>
    <row r="10" spans="1:10" x14ac:dyDescent="0.2">
      <c r="A10" s="7">
        <v>9</v>
      </c>
      <c r="B10" s="8" t="s">
        <v>14</v>
      </c>
      <c r="C10" s="18">
        <v>173.8</v>
      </c>
      <c r="D10" s="18">
        <v>177.7</v>
      </c>
      <c r="E10" s="18">
        <v>179.4</v>
      </c>
      <c r="F10" s="18">
        <v>179.8</v>
      </c>
      <c r="G10" s="19">
        <v>710.7</v>
      </c>
      <c r="H10">
        <f t="shared" si="0"/>
        <v>177.67500000000001</v>
      </c>
      <c r="I10">
        <f t="shared" si="1"/>
        <v>29.612500000000001</v>
      </c>
      <c r="J10">
        <f t="shared" si="2"/>
        <v>9.8708333333333336</v>
      </c>
    </row>
    <row r="11" spans="1:10" x14ac:dyDescent="0.2">
      <c r="A11" s="7">
        <v>10</v>
      </c>
      <c r="B11" s="8" t="s">
        <v>15</v>
      </c>
      <c r="C11" s="18">
        <v>173.9</v>
      </c>
      <c r="D11" s="18">
        <v>177.4</v>
      </c>
      <c r="E11" s="18">
        <v>179.4</v>
      </c>
      <c r="F11" s="18">
        <v>179.1</v>
      </c>
      <c r="G11" s="19">
        <v>709.8</v>
      </c>
      <c r="H11">
        <f t="shared" si="0"/>
        <v>177.45</v>
      </c>
      <c r="I11">
        <f t="shared" si="1"/>
        <v>29.574999999999999</v>
      </c>
      <c r="J11">
        <f t="shared" si="2"/>
        <v>9.8583333333333325</v>
      </c>
    </row>
    <row r="12" spans="1:10" x14ac:dyDescent="0.2">
      <c r="A12" s="7">
        <v>11</v>
      </c>
      <c r="B12" s="8" t="s">
        <v>16</v>
      </c>
      <c r="C12" s="18">
        <v>172.2</v>
      </c>
      <c r="D12" s="18">
        <v>177.8</v>
      </c>
      <c r="E12" s="18">
        <v>178.8</v>
      </c>
      <c r="F12" s="18">
        <v>179.7</v>
      </c>
      <c r="G12" s="19">
        <v>708.5</v>
      </c>
      <c r="H12">
        <f t="shared" si="0"/>
        <v>177.125</v>
      </c>
      <c r="I12">
        <f t="shared" si="1"/>
        <v>29.520833333333332</v>
      </c>
      <c r="J12">
        <f t="shared" si="2"/>
        <v>9.8402777777777768</v>
      </c>
    </row>
    <row r="13" spans="1:10" x14ac:dyDescent="0.2">
      <c r="A13" s="7">
        <v>12</v>
      </c>
      <c r="B13" s="8" t="s">
        <v>17</v>
      </c>
      <c r="C13" s="18">
        <v>175.8</v>
      </c>
      <c r="D13" s="18">
        <v>175.3</v>
      </c>
      <c r="E13" s="18">
        <v>179</v>
      </c>
      <c r="F13" s="18">
        <v>176.6</v>
      </c>
      <c r="G13" s="19">
        <v>706.7</v>
      </c>
      <c r="H13">
        <f t="shared" si="0"/>
        <v>176.67500000000001</v>
      </c>
      <c r="I13">
        <f t="shared" si="1"/>
        <v>29.445833333333336</v>
      </c>
      <c r="J13">
        <f t="shared" si="2"/>
        <v>9.8152777777777782</v>
      </c>
    </row>
    <row r="14" spans="1:10" x14ac:dyDescent="0.2">
      <c r="A14" s="9">
        <v>13</v>
      </c>
      <c r="B14" s="10" t="s">
        <v>18</v>
      </c>
      <c r="C14" s="20">
        <v>172.9</v>
      </c>
      <c r="D14" s="20">
        <v>170.5</v>
      </c>
      <c r="E14" s="20">
        <v>177.2</v>
      </c>
      <c r="F14" s="20">
        <v>178.2</v>
      </c>
      <c r="G14" s="21">
        <v>698.8</v>
      </c>
      <c r="H14">
        <f t="shared" si="0"/>
        <v>174.7</v>
      </c>
      <c r="I14">
        <f t="shared" si="1"/>
        <v>29.116666666666664</v>
      </c>
      <c r="J14">
        <f t="shared" si="2"/>
        <v>9.7055555555555539</v>
      </c>
    </row>
    <row r="15" spans="1:10" x14ac:dyDescent="0.2">
      <c r="A15" s="9">
        <v>14</v>
      </c>
      <c r="B15" s="10" t="s">
        <v>19</v>
      </c>
      <c r="C15" s="20">
        <v>176</v>
      </c>
      <c r="D15" s="20">
        <v>174.6</v>
      </c>
      <c r="E15" s="20">
        <v>179.5</v>
      </c>
      <c r="F15" s="20">
        <v>0</v>
      </c>
      <c r="G15" s="21">
        <v>530.1</v>
      </c>
      <c r="H15">
        <f t="shared" si="0"/>
        <v>176.70000000000002</v>
      </c>
      <c r="I15">
        <f t="shared" si="1"/>
        <v>29.450000000000003</v>
      </c>
      <c r="J15">
        <f t="shared" si="2"/>
        <v>9.8166666666666682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workbookViewId="0">
      <selection sqref="A1:XFD1048576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B1" s="8" t="s">
        <v>34</v>
      </c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7</v>
      </c>
      <c r="C2" s="22">
        <v>29.8</v>
      </c>
      <c r="D2" s="22">
        <v>30</v>
      </c>
      <c r="E2" s="22">
        <v>29.8</v>
      </c>
      <c r="F2" s="22">
        <v>30</v>
      </c>
      <c r="G2" s="23">
        <v>119.6</v>
      </c>
      <c r="H2">
        <f t="shared" ref="H2:H15" si="0">G2/COUNTIF(C2:F2,"&lt;&gt;0")</f>
        <v>29.9</v>
      </c>
      <c r="I2">
        <f t="shared" ref="I2:I15" si="1">H2/3</f>
        <v>9.9666666666666668</v>
      </c>
    </row>
    <row r="3" spans="1:9" ht="15.75" customHeight="1" x14ac:dyDescent="0.2">
      <c r="A3" s="7">
        <v>2</v>
      </c>
      <c r="B3" s="8" t="s">
        <v>25</v>
      </c>
      <c r="C3" s="24">
        <v>29.7</v>
      </c>
      <c r="D3" s="24">
        <v>29.9</v>
      </c>
      <c r="E3" s="24">
        <v>29.9</v>
      </c>
      <c r="F3" s="24">
        <v>30</v>
      </c>
      <c r="G3" s="18">
        <v>119.5</v>
      </c>
      <c r="H3">
        <f t="shared" si="0"/>
        <v>29.875</v>
      </c>
      <c r="I3">
        <f t="shared" si="1"/>
        <v>9.9583333333333339</v>
      </c>
    </row>
    <row r="4" spans="1:9" ht="15.75" customHeight="1" x14ac:dyDescent="0.2">
      <c r="A4" s="7">
        <v>3</v>
      </c>
      <c r="B4" s="8" t="s">
        <v>26</v>
      </c>
      <c r="C4" s="24">
        <v>29.5</v>
      </c>
      <c r="D4" s="24">
        <v>30</v>
      </c>
      <c r="E4" s="24">
        <v>29.9</v>
      </c>
      <c r="F4" s="24">
        <v>30</v>
      </c>
      <c r="G4" s="18">
        <v>119.4</v>
      </c>
      <c r="H4">
        <f t="shared" si="0"/>
        <v>29.85</v>
      </c>
      <c r="I4">
        <f t="shared" si="1"/>
        <v>9.9500000000000011</v>
      </c>
    </row>
    <row r="5" spans="1:9" ht="15.75" customHeight="1" x14ac:dyDescent="0.2">
      <c r="A5" s="7">
        <v>4</v>
      </c>
      <c r="B5" s="8" t="s">
        <v>10</v>
      </c>
      <c r="C5" s="24">
        <v>29.4</v>
      </c>
      <c r="D5" s="24">
        <v>29.9</v>
      </c>
      <c r="E5" s="24">
        <v>30</v>
      </c>
      <c r="F5" s="24">
        <v>29.9</v>
      </c>
      <c r="G5" s="18">
        <v>119.2</v>
      </c>
      <c r="H5">
        <f t="shared" si="0"/>
        <v>29.8</v>
      </c>
      <c r="I5">
        <f t="shared" si="1"/>
        <v>9.9333333333333336</v>
      </c>
    </row>
    <row r="6" spans="1:9" ht="15.75" customHeight="1" x14ac:dyDescent="0.2">
      <c r="A6" s="7">
        <v>5</v>
      </c>
      <c r="B6" s="8" t="s">
        <v>9</v>
      </c>
      <c r="C6" s="24">
        <v>29.6</v>
      </c>
      <c r="D6" s="24">
        <v>30</v>
      </c>
      <c r="E6" s="24">
        <v>29.4</v>
      </c>
      <c r="F6" s="24">
        <v>29.8</v>
      </c>
      <c r="G6" s="18">
        <v>118.8</v>
      </c>
      <c r="H6">
        <f t="shared" si="0"/>
        <v>29.7</v>
      </c>
      <c r="I6">
        <f t="shared" si="1"/>
        <v>9.9</v>
      </c>
    </row>
    <row r="7" spans="1:9" ht="15.75" customHeight="1" x14ac:dyDescent="0.2">
      <c r="A7" s="7">
        <v>6</v>
      </c>
      <c r="B7" s="8" t="s">
        <v>12</v>
      </c>
      <c r="C7" s="24">
        <v>29.4</v>
      </c>
      <c r="D7" s="24">
        <v>29.8</v>
      </c>
      <c r="E7" s="24">
        <v>29.3</v>
      </c>
      <c r="F7" s="24">
        <v>29.9</v>
      </c>
      <c r="G7" s="18">
        <v>118.4</v>
      </c>
      <c r="H7">
        <f t="shared" si="0"/>
        <v>29.6</v>
      </c>
      <c r="I7">
        <f t="shared" si="1"/>
        <v>9.8666666666666671</v>
      </c>
    </row>
    <row r="8" spans="1:9" ht="15.75" customHeight="1" x14ac:dyDescent="0.2">
      <c r="A8" s="7">
        <v>7</v>
      </c>
      <c r="B8" s="8" t="s">
        <v>13</v>
      </c>
      <c r="C8" s="24">
        <v>29.2</v>
      </c>
      <c r="D8" s="24">
        <v>29.6</v>
      </c>
      <c r="E8" s="24">
        <v>29.6</v>
      </c>
      <c r="F8" s="24">
        <v>29.5</v>
      </c>
      <c r="G8" s="18">
        <v>117.9</v>
      </c>
      <c r="H8">
        <f t="shared" si="0"/>
        <v>29.475000000000001</v>
      </c>
      <c r="I8">
        <f t="shared" si="1"/>
        <v>9.8250000000000011</v>
      </c>
    </row>
    <row r="9" spans="1:9" ht="15.75" customHeight="1" x14ac:dyDescent="0.2">
      <c r="A9" s="7">
        <v>8</v>
      </c>
      <c r="B9" s="8" t="s">
        <v>14</v>
      </c>
      <c r="C9" s="24">
        <v>29</v>
      </c>
      <c r="D9" s="24">
        <v>29.3</v>
      </c>
      <c r="E9" s="24">
        <v>29.7</v>
      </c>
      <c r="F9" s="24">
        <v>29.9</v>
      </c>
      <c r="G9" s="18">
        <v>117.9</v>
      </c>
      <c r="H9">
        <f t="shared" si="0"/>
        <v>29.475000000000001</v>
      </c>
      <c r="I9">
        <f t="shared" si="1"/>
        <v>9.8250000000000011</v>
      </c>
    </row>
    <row r="10" spans="1:9" ht="15.75" customHeight="1" x14ac:dyDescent="0.2">
      <c r="A10" s="7">
        <v>9</v>
      </c>
      <c r="B10" s="8" t="s">
        <v>11</v>
      </c>
      <c r="C10" s="24">
        <v>29.3</v>
      </c>
      <c r="D10" s="24">
        <v>29.6</v>
      </c>
      <c r="E10" s="24">
        <v>29.4</v>
      </c>
      <c r="F10" s="24">
        <v>29.6</v>
      </c>
      <c r="G10" s="18">
        <v>117.9</v>
      </c>
      <c r="H10">
        <f t="shared" si="0"/>
        <v>29.475000000000001</v>
      </c>
      <c r="I10">
        <f t="shared" si="1"/>
        <v>9.8250000000000011</v>
      </c>
    </row>
    <row r="11" spans="1:9" ht="15.75" customHeight="1" x14ac:dyDescent="0.2">
      <c r="A11" s="7">
        <v>10</v>
      </c>
      <c r="B11" s="8" t="s">
        <v>15</v>
      </c>
      <c r="C11" s="24">
        <v>28.9</v>
      </c>
      <c r="D11" s="24">
        <v>29.4</v>
      </c>
      <c r="E11" s="24">
        <v>29.6</v>
      </c>
      <c r="F11" s="24">
        <v>29.5</v>
      </c>
      <c r="G11" s="18">
        <v>117.4</v>
      </c>
      <c r="H11">
        <f t="shared" si="0"/>
        <v>29.35</v>
      </c>
      <c r="I11">
        <f t="shared" si="1"/>
        <v>9.7833333333333332</v>
      </c>
    </row>
    <row r="12" spans="1:9" ht="15.75" customHeight="1" x14ac:dyDescent="0.2">
      <c r="A12" s="7">
        <v>11</v>
      </c>
      <c r="B12" s="8" t="s">
        <v>16</v>
      </c>
      <c r="C12" s="24">
        <v>28.7</v>
      </c>
      <c r="D12" s="24">
        <v>29.4</v>
      </c>
      <c r="E12" s="24">
        <v>29.4</v>
      </c>
      <c r="F12" s="24">
        <v>29.8</v>
      </c>
      <c r="G12" s="18">
        <v>117.3</v>
      </c>
      <c r="H12">
        <f t="shared" si="0"/>
        <v>29.324999999999999</v>
      </c>
      <c r="I12">
        <f t="shared" si="1"/>
        <v>9.7750000000000004</v>
      </c>
    </row>
    <row r="13" spans="1:9" ht="15.75" customHeight="1" x14ac:dyDescent="0.2">
      <c r="A13" s="7">
        <v>12</v>
      </c>
      <c r="B13" s="8" t="s">
        <v>17</v>
      </c>
      <c r="C13" s="24">
        <v>29.3</v>
      </c>
      <c r="D13" s="24">
        <v>28.9</v>
      </c>
      <c r="E13" s="24">
        <v>29.6</v>
      </c>
      <c r="F13" s="24">
        <v>29.2</v>
      </c>
      <c r="G13" s="18">
        <v>117</v>
      </c>
      <c r="H13">
        <f t="shared" si="0"/>
        <v>29.25</v>
      </c>
      <c r="I13">
        <f t="shared" si="1"/>
        <v>9.75</v>
      </c>
    </row>
    <row r="14" spans="1:9" ht="15.75" customHeight="1" x14ac:dyDescent="0.2">
      <c r="A14" s="7">
        <v>13</v>
      </c>
      <c r="B14" s="8" t="s">
        <v>18</v>
      </c>
      <c r="C14" s="24">
        <v>28.3</v>
      </c>
      <c r="D14" s="24">
        <v>29</v>
      </c>
      <c r="E14" s="24">
        <v>29.1</v>
      </c>
      <c r="F14" s="24">
        <v>29.2</v>
      </c>
      <c r="G14" s="18">
        <v>115.6</v>
      </c>
      <c r="H14">
        <f t="shared" si="0"/>
        <v>28.9</v>
      </c>
      <c r="I14">
        <f t="shared" si="1"/>
        <v>9.6333333333333329</v>
      </c>
    </row>
    <row r="15" spans="1:9" ht="15.75" customHeight="1" x14ac:dyDescent="0.2">
      <c r="A15" s="7">
        <v>14</v>
      </c>
      <c r="B15" s="8" t="s">
        <v>19</v>
      </c>
      <c r="C15" s="24">
        <v>29.2</v>
      </c>
      <c r="D15" s="24">
        <v>28.5</v>
      </c>
      <c r="E15" s="24">
        <v>29.6</v>
      </c>
      <c r="F15" s="24">
        <v>0</v>
      </c>
      <c r="G15" s="18">
        <v>87.3</v>
      </c>
      <c r="H15">
        <f t="shared" si="0"/>
        <v>29.099999999999998</v>
      </c>
      <c r="I15">
        <f t="shared" si="1"/>
        <v>9.6999999999999993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0"/>
  <sheetViews>
    <sheetView workbookViewId="0">
      <selection sqref="A1:XFD1048576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B1" s="8" t="s">
        <v>29</v>
      </c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8</v>
      </c>
      <c r="C2" s="22">
        <v>29.9</v>
      </c>
      <c r="D2" s="22">
        <v>30</v>
      </c>
      <c r="E2" s="22">
        <v>30</v>
      </c>
      <c r="F2" s="22">
        <v>30</v>
      </c>
      <c r="G2" s="23">
        <v>119.9</v>
      </c>
      <c r="H2">
        <f t="shared" ref="H2:H15" si="0">G2/COUNTIF(C2:F2,"&lt;&gt;0")</f>
        <v>29.975000000000001</v>
      </c>
      <c r="I2">
        <f t="shared" ref="I2:I15" si="1">H2/3</f>
        <v>9.9916666666666671</v>
      </c>
    </row>
    <row r="3" spans="1:9" ht="15.75" customHeight="1" x14ac:dyDescent="0.2">
      <c r="A3" s="7"/>
      <c r="B3" s="8" t="s">
        <v>6</v>
      </c>
      <c r="C3" s="24">
        <v>29.9</v>
      </c>
      <c r="D3" s="24">
        <v>30</v>
      </c>
      <c r="E3" s="24">
        <v>30</v>
      </c>
      <c r="F3" s="24">
        <v>30</v>
      </c>
      <c r="G3" s="18">
        <v>119.9</v>
      </c>
      <c r="H3">
        <f t="shared" si="0"/>
        <v>29.975000000000001</v>
      </c>
      <c r="I3">
        <f t="shared" si="1"/>
        <v>9.9916666666666671</v>
      </c>
    </row>
    <row r="4" spans="1:9" ht="15.75" customHeight="1" x14ac:dyDescent="0.2">
      <c r="A4" s="7">
        <v>3</v>
      </c>
      <c r="B4" s="8" t="s">
        <v>27</v>
      </c>
      <c r="C4" s="24">
        <v>29.8</v>
      </c>
      <c r="D4" s="24">
        <v>30</v>
      </c>
      <c r="E4" s="24">
        <v>30</v>
      </c>
      <c r="F4" s="24">
        <v>30</v>
      </c>
      <c r="G4" s="18">
        <v>119.8</v>
      </c>
      <c r="H4">
        <f t="shared" si="0"/>
        <v>29.95</v>
      </c>
      <c r="I4">
        <f t="shared" si="1"/>
        <v>9.9833333333333325</v>
      </c>
    </row>
    <row r="5" spans="1:9" ht="15.75" customHeight="1" x14ac:dyDescent="0.2">
      <c r="A5" s="7">
        <v>4</v>
      </c>
      <c r="B5" s="8" t="s">
        <v>9</v>
      </c>
      <c r="C5" s="24">
        <v>29.7</v>
      </c>
      <c r="D5" s="24">
        <v>30</v>
      </c>
      <c r="E5" s="24">
        <v>29.9</v>
      </c>
      <c r="F5" s="24">
        <v>30</v>
      </c>
      <c r="G5" s="18">
        <v>119.6</v>
      </c>
      <c r="H5">
        <f t="shared" si="0"/>
        <v>29.9</v>
      </c>
      <c r="I5">
        <f t="shared" si="1"/>
        <v>9.9666666666666668</v>
      </c>
    </row>
    <row r="6" spans="1:9" ht="15.75" customHeight="1" x14ac:dyDescent="0.2">
      <c r="A6" s="7">
        <v>5</v>
      </c>
      <c r="B6" s="8" t="s">
        <v>12</v>
      </c>
      <c r="C6" s="24">
        <v>29.6</v>
      </c>
      <c r="D6" s="24">
        <v>29.8</v>
      </c>
      <c r="E6" s="24">
        <v>30</v>
      </c>
      <c r="F6" s="24">
        <v>30</v>
      </c>
      <c r="G6" s="18">
        <v>119.4</v>
      </c>
      <c r="H6">
        <f t="shared" si="0"/>
        <v>29.85</v>
      </c>
      <c r="I6">
        <f t="shared" si="1"/>
        <v>9.9500000000000011</v>
      </c>
    </row>
    <row r="7" spans="1:9" ht="15.75" customHeight="1" x14ac:dyDescent="0.2">
      <c r="A7" s="7">
        <v>6</v>
      </c>
      <c r="B7" s="8" t="s">
        <v>13</v>
      </c>
      <c r="C7" s="24">
        <v>29.2</v>
      </c>
      <c r="D7" s="24">
        <v>29.6</v>
      </c>
      <c r="E7" s="24">
        <v>30</v>
      </c>
      <c r="F7" s="24">
        <v>30</v>
      </c>
      <c r="G7" s="18">
        <v>118.8</v>
      </c>
      <c r="H7">
        <f t="shared" si="0"/>
        <v>29.7</v>
      </c>
      <c r="I7">
        <f t="shared" si="1"/>
        <v>9.9</v>
      </c>
    </row>
    <row r="8" spans="1:9" ht="15.75" customHeight="1" x14ac:dyDescent="0.2">
      <c r="A8" s="7">
        <v>7</v>
      </c>
      <c r="B8" s="8" t="s">
        <v>11</v>
      </c>
      <c r="C8" s="24">
        <v>29.5</v>
      </c>
      <c r="D8" s="24">
        <v>29.8</v>
      </c>
      <c r="E8" s="24">
        <v>29.5</v>
      </c>
      <c r="F8" s="24">
        <v>30</v>
      </c>
      <c r="G8" s="18">
        <v>118.8</v>
      </c>
      <c r="H8">
        <f t="shared" si="0"/>
        <v>29.7</v>
      </c>
      <c r="I8">
        <f t="shared" si="1"/>
        <v>9.9</v>
      </c>
    </row>
    <row r="9" spans="1:9" ht="15.75" customHeight="1" x14ac:dyDescent="0.2">
      <c r="A9" s="7">
        <v>8</v>
      </c>
      <c r="B9" s="8" t="s">
        <v>16</v>
      </c>
      <c r="C9" s="24">
        <v>29</v>
      </c>
      <c r="D9" s="24">
        <v>29.6</v>
      </c>
      <c r="E9" s="24">
        <v>29.9</v>
      </c>
      <c r="F9" s="24">
        <v>30</v>
      </c>
      <c r="G9" s="18">
        <v>118.5</v>
      </c>
      <c r="H9">
        <f t="shared" si="0"/>
        <v>29.625</v>
      </c>
      <c r="I9">
        <f t="shared" si="1"/>
        <v>9.875</v>
      </c>
    </row>
    <row r="10" spans="1:9" ht="15.75" customHeight="1" x14ac:dyDescent="0.2">
      <c r="A10" s="7">
        <v>9</v>
      </c>
      <c r="B10" s="8" t="s">
        <v>14</v>
      </c>
      <c r="C10" s="24">
        <v>28.8</v>
      </c>
      <c r="D10" s="24">
        <v>29.6</v>
      </c>
      <c r="E10" s="24">
        <v>29.9</v>
      </c>
      <c r="F10" s="24">
        <v>30</v>
      </c>
      <c r="G10" s="18">
        <v>118.3</v>
      </c>
      <c r="H10">
        <f t="shared" si="0"/>
        <v>29.574999999999999</v>
      </c>
      <c r="I10">
        <f t="shared" si="1"/>
        <v>9.8583333333333325</v>
      </c>
    </row>
    <row r="11" spans="1:9" ht="15.75" customHeight="1" x14ac:dyDescent="0.2">
      <c r="A11" s="7">
        <v>10</v>
      </c>
      <c r="B11" s="8" t="s">
        <v>10</v>
      </c>
      <c r="C11" s="24">
        <v>29</v>
      </c>
      <c r="D11" s="24">
        <v>29.3</v>
      </c>
      <c r="E11" s="24">
        <v>30</v>
      </c>
      <c r="F11" s="24">
        <v>30</v>
      </c>
      <c r="G11" s="18">
        <v>118.3</v>
      </c>
      <c r="H11">
        <f t="shared" si="0"/>
        <v>29.574999999999999</v>
      </c>
      <c r="I11">
        <f t="shared" si="1"/>
        <v>9.8583333333333325</v>
      </c>
    </row>
    <row r="12" spans="1:9" ht="15.75" customHeight="1" x14ac:dyDescent="0.2">
      <c r="A12" s="7">
        <v>11</v>
      </c>
      <c r="B12" s="8" t="s">
        <v>15</v>
      </c>
      <c r="C12" s="24">
        <v>28.9</v>
      </c>
      <c r="D12" s="24">
        <v>29.4</v>
      </c>
      <c r="E12" s="24">
        <v>30</v>
      </c>
      <c r="F12" s="24">
        <v>30</v>
      </c>
      <c r="G12" s="18">
        <v>118.3</v>
      </c>
      <c r="H12">
        <f t="shared" si="0"/>
        <v>29.574999999999999</v>
      </c>
      <c r="I12">
        <f t="shared" si="1"/>
        <v>9.8583333333333325</v>
      </c>
    </row>
    <row r="13" spans="1:9" ht="15.75" customHeight="1" x14ac:dyDescent="0.2">
      <c r="A13" s="7">
        <v>12</v>
      </c>
      <c r="B13" s="8" t="s">
        <v>18</v>
      </c>
      <c r="C13" s="24">
        <v>28.6</v>
      </c>
      <c r="D13" s="24">
        <v>29.2</v>
      </c>
      <c r="E13" s="24">
        <v>29.5</v>
      </c>
      <c r="F13" s="24">
        <v>29.8</v>
      </c>
      <c r="G13" s="18">
        <v>117.1</v>
      </c>
      <c r="H13">
        <f t="shared" si="0"/>
        <v>29.274999999999999</v>
      </c>
      <c r="I13">
        <f t="shared" si="1"/>
        <v>9.7583333333333329</v>
      </c>
    </row>
    <row r="14" spans="1:9" ht="15.75" customHeight="1" x14ac:dyDescent="0.2">
      <c r="A14" s="7">
        <v>13</v>
      </c>
      <c r="B14" s="8" t="s">
        <v>17</v>
      </c>
      <c r="C14" s="24">
        <v>28.8</v>
      </c>
      <c r="D14" s="24">
        <v>29.4</v>
      </c>
      <c r="E14" s="24">
        <v>29.8</v>
      </c>
      <c r="F14" s="24">
        <v>29.1</v>
      </c>
      <c r="G14" s="18">
        <v>117.1</v>
      </c>
      <c r="H14">
        <f t="shared" si="0"/>
        <v>29.274999999999999</v>
      </c>
      <c r="I14">
        <f t="shared" si="1"/>
        <v>9.7583333333333329</v>
      </c>
    </row>
    <row r="15" spans="1:9" ht="15.75" customHeight="1" x14ac:dyDescent="0.2">
      <c r="A15" s="7">
        <v>14</v>
      </c>
      <c r="B15" s="8" t="s">
        <v>19</v>
      </c>
      <c r="C15" s="24">
        <v>29.5</v>
      </c>
      <c r="D15" s="24">
        <v>29.4</v>
      </c>
      <c r="E15" s="24">
        <v>30</v>
      </c>
      <c r="F15" s="24">
        <v>0</v>
      </c>
      <c r="G15" s="18">
        <v>88.9</v>
      </c>
      <c r="H15">
        <f t="shared" si="0"/>
        <v>29.633333333333336</v>
      </c>
      <c r="I15">
        <f t="shared" si="1"/>
        <v>9.8777777777777782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0"/>
  <sheetViews>
    <sheetView workbookViewId="0">
      <selection activeCell="F15" sqref="F15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A1" t="s">
        <v>30</v>
      </c>
      <c r="B1" s="8"/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7</v>
      </c>
      <c r="C2" s="22">
        <v>30</v>
      </c>
      <c r="D2" s="22">
        <v>30</v>
      </c>
      <c r="E2" s="22">
        <v>30</v>
      </c>
      <c r="F2" s="22">
        <v>30</v>
      </c>
      <c r="G2" s="23">
        <v>120</v>
      </c>
      <c r="H2">
        <f t="shared" ref="H2:H15" si="0">G2/COUNTIF(C2:F2,"&lt;&gt;0")</f>
        <v>30</v>
      </c>
      <c r="I2">
        <f t="shared" ref="I2:I15" si="1">H2/3</f>
        <v>10</v>
      </c>
    </row>
    <row r="3" spans="1:9" ht="15.75" customHeight="1" x14ac:dyDescent="0.2">
      <c r="A3" s="7"/>
      <c r="B3" s="8" t="s">
        <v>6</v>
      </c>
      <c r="C3" s="24">
        <v>30</v>
      </c>
      <c r="D3" s="24">
        <v>30</v>
      </c>
      <c r="E3" s="24">
        <v>30</v>
      </c>
      <c r="F3" s="24">
        <v>30</v>
      </c>
      <c r="G3" s="18">
        <v>120</v>
      </c>
      <c r="H3">
        <f t="shared" si="0"/>
        <v>30</v>
      </c>
      <c r="I3">
        <f t="shared" si="1"/>
        <v>10</v>
      </c>
    </row>
    <row r="4" spans="1:9" ht="15.75" customHeight="1" x14ac:dyDescent="0.2">
      <c r="A4" s="7">
        <v>3</v>
      </c>
      <c r="B4" s="8" t="s">
        <v>26</v>
      </c>
      <c r="C4" s="24">
        <v>29.9</v>
      </c>
      <c r="D4" s="24">
        <v>30</v>
      </c>
      <c r="E4" s="24">
        <v>30</v>
      </c>
      <c r="F4" s="24">
        <v>30</v>
      </c>
      <c r="G4" s="18">
        <v>119.9</v>
      </c>
      <c r="H4">
        <f t="shared" si="0"/>
        <v>29.975000000000001</v>
      </c>
      <c r="I4">
        <f t="shared" si="1"/>
        <v>9.9916666666666671</v>
      </c>
    </row>
    <row r="5" spans="1:9" ht="15.75" customHeight="1" x14ac:dyDescent="0.2">
      <c r="A5" s="7">
        <v>4</v>
      </c>
      <c r="B5" s="8" t="s">
        <v>10</v>
      </c>
      <c r="C5" s="24">
        <v>29.8</v>
      </c>
      <c r="D5" s="24">
        <v>30</v>
      </c>
      <c r="E5" s="24">
        <v>29.9</v>
      </c>
      <c r="F5" s="24">
        <v>30</v>
      </c>
      <c r="G5" s="18">
        <v>119.7</v>
      </c>
      <c r="H5">
        <f t="shared" si="0"/>
        <v>29.925000000000001</v>
      </c>
      <c r="I5">
        <f t="shared" si="1"/>
        <v>9.9749999999999996</v>
      </c>
    </row>
    <row r="6" spans="1:9" ht="15.75" customHeight="1" x14ac:dyDescent="0.2">
      <c r="A6" s="7">
        <v>5</v>
      </c>
      <c r="B6" s="8" t="s">
        <v>9</v>
      </c>
      <c r="C6" s="24">
        <v>29.7</v>
      </c>
      <c r="D6" s="24">
        <v>30</v>
      </c>
      <c r="E6" s="24">
        <v>29.8</v>
      </c>
      <c r="F6" s="24">
        <v>30</v>
      </c>
      <c r="G6" s="18">
        <v>119.5</v>
      </c>
      <c r="H6">
        <f t="shared" si="0"/>
        <v>29.875</v>
      </c>
      <c r="I6">
        <f t="shared" si="1"/>
        <v>9.9583333333333339</v>
      </c>
    </row>
    <row r="7" spans="1:9" ht="15.75" customHeight="1" x14ac:dyDescent="0.2">
      <c r="A7" s="7">
        <v>6</v>
      </c>
      <c r="B7" s="8" t="s">
        <v>12</v>
      </c>
      <c r="C7" s="24">
        <v>29.4</v>
      </c>
      <c r="D7" s="24">
        <v>29.6</v>
      </c>
      <c r="E7" s="24">
        <v>29.8</v>
      </c>
      <c r="F7" s="24">
        <v>29.8</v>
      </c>
      <c r="G7" s="18">
        <v>118.6</v>
      </c>
      <c r="H7">
        <f t="shared" si="0"/>
        <v>29.65</v>
      </c>
      <c r="I7">
        <f t="shared" si="1"/>
        <v>9.8833333333333329</v>
      </c>
    </row>
    <row r="8" spans="1:9" ht="15.75" customHeight="1" x14ac:dyDescent="0.2">
      <c r="A8" s="7">
        <v>7</v>
      </c>
      <c r="B8" s="8" t="s">
        <v>13</v>
      </c>
      <c r="C8" s="24">
        <v>29.1</v>
      </c>
      <c r="D8" s="24">
        <v>29.6</v>
      </c>
      <c r="E8" s="24">
        <v>29.9</v>
      </c>
      <c r="F8" s="24">
        <v>29.9</v>
      </c>
      <c r="G8" s="18">
        <v>118.5</v>
      </c>
      <c r="H8">
        <f t="shared" si="0"/>
        <v>29.625</v>
      </c>
      <c r="I8">
        <f t="shared" si="1"/>
        <v>9.875</v>
      </c>
    </row>
    <row r="9" spans="1:9" ht="15.75" customHeight="1" x14ac:dyDescent="0.2">
      <c r="A9" s="7">
        <v>8</v>
      </c>
      <c r="B9" s="8" t="s">
        <v>11</v>
      </c>
      <c r="C9" s="24">
        <v>29.3</v>
      </c>
      <c r="D9" s="24">
        <v>29.7</v>
      </c>
      <c r="E9" s="24">
        <v>29.8</v>
      </c>
      <c r="F9" s="24">
        <v>29.6</v>
      </c>
      <c r="G9" s="18">
        <v>118.4</v>
      </c>
      <c r="H9">
        <f t="shared" si="0"/>
        <v>29.6</v>
      </c>
      <c r="I9">
        <f t="shared" si="1"/>
        <v>9.8666666666666671</v>
      </c>
    </row>
    <row r="10" spans="1:9" ht="15.75" customHeight="1" x14ac:dyDescent="0.2">
      <c r="A10" s="7">
        <v>9</v>
      </c>
      <c r="B10" s="8" t="s">
        <v>14</v>
      </c>
      <c r="C10" s="24">
        <v>28.6</v>
      </c>
      <c r="D10" s="24">
        <v>29.8</v>
      </c>
      <c r="E10" s="24">
        <v>29.9</v>
      </c>
      <c r="F10" s="24">
        <v>30</v>
      </c>
      <c r="G10" s="18">
        <v>118.3</v>
      </c>
      <c r="H10">
        <f t="shared" si="0"/>
        <v>29.574999999999999</v>
      </c>
      <c r="I10">
        <f t="shared" si="1"/>
        <v>9.8583333333333325</v>
      </c>
    </row>
    <row r="11" spans="1:9" ht="15.75" customHeight="1" x14ac:dyDescent="0.2">
      <c r="A11" s="7">
        <v>10</v>
      </c>
      <c r="B11" s="8" t="s">
        <v>15</v>
      </c>
      <c r="C11" s="24">
        <v>28.8</v>
      </c>
      <c r="D11" s="24">
        <v>29.6</v>
      </c>
      <c r="E11" s="24">
        <v>29.9</v>
      </c>
      <c r="F11" s="24">
        <v>29.9</v>
      </c>
      <c r="G11" s="18">
        <v>118.2</v>
      </c>
      <c r="H11">
        <f t="shared" si="0"/>
        <v>29.55</v>
      </c>
      <c r="I11">
        <f t="shared" si="1"/>
        <v>9.85</v>
      </c>
    </row>
    <row r="12" spans="1:9" ht="15.75" customHeight="1" x14ac:dyDescent="0.2">
      <c r="A12" s="7">
        <v>11</v>
      </c>
      <c r="B12" s="8" t="s">
        <v>16</v>
      </c>
      <c r="C12" s="24">
        <v>28.6</v>
      </c>
      <c r="D12" s="24">
        <v>29.4</v>
      </c>
      <c r="E12" s="24">
        <v>29.8</v>
      </c>
      <c r="F12" s="24">
        <v>30</v>
      </c>
      <c r="G12" s="18">
        <v>117.8</v>
      </c>
      <c r="H12">
        <f t="shared" si="0"/>
        <v>29.45</v>
      </c>
      <c r="I12">
        <f t="shared" si="1"/>
        <v>9.8166666666666664</v>
      </c>
    </row>
    <row r="13" spans="1:9" ht="15.75" customHeight="1" x14ac:dyDescent="0.2">
      <c r="A13" s="7">
        <v>12</v>
      </c>
      <c r="B13" s="8" t="s">
        <v>18</v>
      </c>
      <c r="C13" s="24">
        <v>28.7</v>
      </c>
      <c r="D13" s="24">
        <v>29</v>
      </c>
      <c r="E13" s="24">
        <v>29.6</v>
      </c>
      <c r="F13" s="24">
        <v>29.9</v>
      </c>
      <c r="G13" s="18">
        <v>117.2</v>
      </c>
      <c r="H13">
        <f t="shared" si="0"/>
        <v>29.3</v>
      </c>
      <c r="I13">
        <f t="shared" si="1"/>
        <v>9.7666666666666675</v>
      </c>
    </row>
    <row r="14" spans="1:9" ht="15.75" customHeight="1" x14ac:dyDescent="0.2">
      <c r="A14" s="7">
        <v>13</v>
      </c>
      <c r="B14" s="8" t="s">
        <v>17</v>
      </c>
      <c r="C14" s="24">
        <v>29</v>
      </c>
      <c r="D14" s="24">
        <v>29.1</v>
      </c>
      <c r="E14" s="24">
        <v>29.8</v>
      </c>
      <c r="F14" s="24">
        <v>29.3</v>
      </c>
      <c r="G14" s="18">
        <v>117.2</v>
      </c>
      <c r="H14">
        <f t="shared" si="0"/>
        <v>29.3</v>
      </c>
      <c r="I14">
        <f t="shared" si="1"/>
        <v>9.7666666666666675</v>
      </c>
    </row>
    <row r="15" spans="1:9" ht="15.75" customHeight="1" x14ac:dyDescent="0.2">
      <c r="A15" s="7">
        <v>14</v>
      </c>
      <c r="B15" s="8" t="s">
        <v>19</v>
      </c>
      <c r="C15" s="24">
        <v>29</v>
      </c>
      <c r="D15" s="24">
        <v>28.8</v>
      </c>
      <c r="E15" s="24">
        <v>30</v>
      </c>
      <c r="F15" s="24">
        <v>0</v>
      </c>
      <c r="G15" s="18">
        <v>87.8</v>
      </c>
      <c r="H15">
        <f t="shared" si="0"/>
        <v>29.266666666666666</v>
      </c>
      <c r="I15">
        <f t="shared" si="1"/>
        <v>9.7555555555555546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0"/>
  <sheetViews>
    <sheetView workbookViewId="0">
      <selection activeCell="F15" sqref="F15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A1" t="s">
        <v>31</v>
      </c>
      <c r="B1" s="8"/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6</v>
      </c>
      <c r="C2" s="22">
        <v>30</v>
      </c>
      <c r="D2" s="22">
        <v>30</v>
      </c>
      <c r="E2" s="22">
        <v>30</v>
      </c>
      <c r="F2" s="22">
        <v>30</v>
      </c>
      <c r="G2" s="23">
        <v>120</v>
      </c>
      <c r="H2">
        <f t="shared" ref="H2:H15" si="0">G2/COUNTIF(C2:F2,"&lt;&gt;0")</f>
        <v>30</v>
      </c>
      <c r="I2">
        <f t="shared" ref="I2:I15" si="1">H2/3</f>
        <v>10</v>
      </c>
    </row>
    <row r="3" spans="1:9" ht="15.75" customHeight="1" x14ac:dyDescent="0.2">
      <c r="A3" s="7">
        <v>2</v>
      </c>
      <c r="B3" s="8" t="s">
        <v>27</v>
      </c>
      <c r="C3" s="24">
        <v>29.9</v>
      </c>
      <c r="D3" s="24">
        <v>30</v>
      </c>
      <c r="E3" s="24">
        <v>30</v>
      </c>
      <c r="F3" s="24">
        <v>29.9</v>
      </c>
      <c r="G3" s="18">
        <v>119.8</v>
      </c>
      <c r="H3">
        <f t="shared" si="0"/>
        <v>29.95</v>
      </c>
      <c r="I3">
        <f t="shared" si="1"/>
        <v>9.9833333333333325</v>
      </c>
    </row>
    <row r="4" spans="1:9" ht="15.75" customHeight="1" x14ac:dyDescent="0.2">
      <c r="A4" s="7">
        <v>3</v>
      </c>
      <c r="B4" s="8" t="s">
        <v>15</v>
      </c>
      <c r="C4" s="24">
        <v>30</v>
      </c>
      <c r="D4" s="24">
        <v>29.6</v>
      </c>
      <c r="E4" s="24">
        <v>30</v>
      </c>
      <c r="F4" s="24">
        <v>30</v>
      </c>
      <c r="G4" s="18">
        <v>119.6</v>
      </c>
      <c r="H4">
        <f t="shared" si="0"/>
        <v>29.9</v>
      </c>
      <c r="I4">
        <f t="shared" si="1"/>
        <v>9.9666666666666668</v>
      </c>
    </row>
    <row r="5" spans="1:9" ht="15.75" customHeight="1" x14ac:dyDescent="0.2">
      <c r="A5" s="7">
        <v>4</v>
      </c>
      <c r="B5" s="8" t="s">
        <v>10</v>
      </c>
      <c r="C5" s="24">
        <v>29.6</v>
      </c>
      <c r="D5" s="24">
        <v>29.9</v>
      </c>
      <c r="E5" s="24">
        <v>30</v>
      </c>
      <c r="F5" s="24">
        <v>30</v>
      </c>
      <c r="G5" s="18">
        <v>119.5</v>
      </c>
      <c r="H5">
        <f t="shared" si="0"/>
        <v>29.875</v>
      </c>
      <c r="I5">
        <f t="shared" si="1"/>
        <v>9.9583333333333339</v>
      </c>
    </row>
    <row r="6" spans="1:9" ht="15.75" customHeight="1" x14ac:dyDescent="0.2">
      <c r="A6" s="7">
        <v>5</v>
      </c>
      <c r="B6" s="8" t="s">
        <v>9</v>
      </c>
      <c r="C6" s="24">
        <v>29.8</v>
      </c>
      <c r="D6" s="24">
        <v>29.9</v>
      </c>
      <c r="E6" s="24">
        <v>29.7</v>
      </c>
      <c r="F6" s="24">
        <v>29.9</v>
      </c>
      <c r="G6" s="18">
        <v>119.3</v>
      </c>
      <c r="H6">
        <f t="shared" si="0"/>
        <v>29.824999999999999</v>
      </c>
      <c r="I6">
        <f t="shared" si="1"/>
        <v>9.9416666666666664</v>
      </c>
    </row>
    <row r="7" spans="1:9" ht="15.75" customHeight="1" x14ac:dyDescent="0.2">
      <c r="A7" s="7">
        <v>6</v>
      </c>
      <c r="B7" s="8" t="s">
        <v>14</v>
      </c>
      <c r="C7" s="24">
        <v>29.3</v>
      </c>
      <c r="D7" s="24">
        <v>30</v>
      </c>
      <c r="E7" s="24">
        <v>30</v>
      </c>
      <c r="F7" s="24">
        <v>30</v>
      </c>
      <c r="G7" s="18">
        <v>119.3</v>
      </c>
      <c r="H7">
        <f t="shared" si="0"/>
        <v>29.824999999999999</v>
      </c>
      <c r="I7">
        <f t="shared" si="1"/>
        <v>9.9416666666666664</v>
      </c>
    </row>
    <row r="8" spans="1:9" ht="15.75" customHeight="1" x14ac:dyDescent="0.2">
      <c r="A8" s="7">
        <v>7</v>
      </c>
      <c r="B8" s="8" t="s">
        <v>11</v>
      </c>
      <c r="C8" s="24">
        <v>29.6</v>
      </c>
      <c r="D8" s="24">
        <v>29.9</v>
      </c>
      <c r="E8" s="24">
        <v>30</v>
      </c>
      <c r="F8" s="24">
        <v>29.8</v>
      </c>
      <c r="G8" s="18">
        <v>119.3</v>
      </c>
      <c r="H8">
        <f t="shared" si="0"/>
        <v>29.824999999999999</v>
      </c>
      <c r="I8">
        <f t="shared" si="1"/>
        <v>9.9416666666666664</v>
      </c>
    </row>
    <row r="9" spans="1:9" ht="15.75" customHeight="1" x14ac:dyDescent="0.2">
      <c r="A9" s="7">
        <v>8</v>
      </c>
      <c r="B9" s="8" t="s">
        <v>26</v>
      </c>
      <c r="C9" s="24">
        <v>29.6</v>
      </c>
      <c r="D9" s="24">
        <v>29.6</v>
      </c>
      <c r="E9" s="24">
        <v>30</v>
      </c>
      <c r="F9" s="24">
        <v>30</v>
      </c>
      <c r="G9" s="18">
        <v>119.2</v>
      </c>
      <c r="H9">
        <f t="shared" si="0"/>
        <v>29.8</v>
      </c>
      <c r="I9">
        <f t="shared" si="1"/>
        <v>9.9333333333333336</v>
      </c>
    </row>
    <row r="10" spans="1:9" ht="15.75" customHeight="1" x14ac:dyDescent="0.2">
      <c r="A10" s="7">
        <v>9</v>
      </c>
      <c r="B10" s="8" t="s">
        <v>12</v>
      </c>
      <c r="C10" s="24">
        <v>29.7</v>
      </c>
      <c r="D10" s="24">
        <v>29.6</v>
      </c>
      <c r="E10" s="24">
        <v>29.8</v>
      </c>
      <c r="F10" s="24">
        <v>29.9</v>
      </c>
      <c r="G10" s="18">
        <v>119</v>
      </c>
      <c r="H10">
        <f t="shared" si="0"/>
        <v>29.75</v>
      </c>
      <c r="I10">
        <f t="shared" si="1"/>
        <v>9.9166666666666661</v>
      </c>
    </row>
    <row r="11" spans="1:9" ht="15.75" customHeight="1" x14ac:dyDescent="0.2">
      <c r="A11" s="7">
        <v>10</v>
      </c>
      <c r="B11" s="8" t="s">
        <v>13</v>
      </c>
      <c r="C11" s="24">
        <v>29.7</v>
      </c>
      <c r="D11" s="24">
        <v>29.5</v>
      </c>
      <c r="E11" s="24">
        <v>29.7</v>
      </c>
      <c r="F11" s="24">
        <v>29.9</v>
      </c>
      <c r="G11" s="18">
        <v>118.8</v>
      </c>
      <c r="H11">
        <f t="shared" si="0"/>
        <v>29.7</v>
      </c>
      <c r="I11">
        <f t="shared" si="1"/>
        <v>9.9</v>
      </c>
    </row>
    <row r="12" spans="1:9" ht="15.75" customHeight="1" x14ac:dyDescent="0.2">
      <c r="A12" s="7">
        <v>11</v>
      </c>
      <c r="B12" s="8" t="s">
        <v>17</v>
      </c>
      <c r="C12" s="24">
        <v>29.8</v>
      </c>
      <c r="D12" s="24">
        <v>29.1</v>
      </c>
      <c r="E12" s="24">
        <v>29.9</v>
      </c>
      <c r="F12" s="24">
        <v>29.9</v>
      </c>
      <c r="G12" s="18">
        <v>118.7</v>
      </c>
      <c r="H12">
        <f t="shared" si="0"/>
        <v>29.675000000000001</v>
      </c>
      <c r="I12">
        <f t="shared" si="1"/>
        <v>9.8916666666666675</v>
      </c>
    </row>
    <row r="13" spans="1:9" ht="15.75" customHeight="1" x14ac:dyDescent="0.2">
      <c r="A13" s="7">
        <v>12</v>
      </c>
      <c r="B13" s="8" t="s">
        <v>18</v>
      </c>
      <c r="C13" s="24">
        <v>29.2</v>
      </c>
      <c r="D13" s="24">
        <v>29.8</v>
      </c>
      <c r="E13" s="24">
        <v>29.8</v>
      </c>
      <c r="F13" s="24">
        <v>29.6</v>
      </c>
      <c r="G13" s="18">
        <v>118.4</v>
      </c>
      <c r="H13">
        <f t="shared" si="0"/>
        <v>29.6</v>
      </c>
      <c r="I13">
        <f t="shared" si="1"/>
        <v>9.8666666666666671</v>
      </c>
    </row>
    <row r="14" spans="1:9" ht="15.75" customHeight="1" x14ac:dyDescent="0.2">
      <c r="A14" s="7">
        <v>13</v>
      </c>
      <c r="B14" s="8" t="s">
        <v>16</v>
      </c>
      <c r="C14" s="24">
        <v>28.5</v>
      </c>
      <c r="D14" s="24">
        <v>29.9</v>
      </c>
      <c r="E14" s="24">
        <v>30</v>
      </c>
      <c r="F14" s="24">
        <v>29.9</v>
      </c>
      <c r="G14" s="18">
        <v>118.3</v>
      </c>
      <c r="H14">
        <f t="shared" si="0"/>
        <v>29.574999999999999</v>
      </c>
      <c r="I14">
        <f t="shared" si="1"/>
        <v>9.8583333333333325</v>
      </c>
    </row>
    <row r="15" spans="1:9" ht="15.75" customHeight="1" x14ac:dyDescent="0.2">
      <c r="A15" s="7">
        <v>14</v>
      </c>
      <c r="B15" s="8" t="s">
        <v>19</v>
      </c>
      <c r="C15" s="24">
        <v>29.2</v>
      </c>
      <c r="D15" s="24">
        <v>29</v>
      </c>
      <c r="E15" s="24">
        <v>29.9</v>
      </c>
      <c r="F15" s="24">
        <v>0</v>
      </c>
      <c r="G15" s="18">
        <v>88.1</v>
      </c>
      <c r="H15">
        <f t="shared" si="0"/>
        <v>29.366666666666664</v>
      </c>
      <c r="I15">
        <f t="shared" si="1"/>
        <v>9.7888888888888879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0"/>
  <sheetViews>
    <sheetView workbookViewId="0">
      <selection activeCell="F15" sqref="F15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A1" t="s">
        <v>32</v>
      </c>
      <c r="B1" s="8"/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6</v>
      </c>
      <c r="C2" s="22">
        <v>29.9</v>
      </c>
      <c r="D2" s="22">
        <v>30</v>
      </c>
      <c r="E2" s="22">
        <v>30</v>
      </c>
      <c r="F2" s="22">
        <v>30</v>
      </c>
      <c r="G2" s="23">
        <v>119.9</v>
      </c>
      <c r="H2">
        <f t="shared" ref="H2:H15" si="0">G2/COUNTIF(C2:F2,"&lt;&gt;0")</f>
        <v>29.975000000000001</v>
      </c>
      <c r="I2">
        <f t="shared" ref="I2:I15" si="1">H2/3</f>
        <v>9.9916666666666671</v>
      </c>
    </row>
    <row r="3" spans="1:9" ht="15.75" customHeight="1" x14ac:dyDescent="0.2">
      <c r="A3" s="7">
        <v>2</v>
      </c>
      <c r="B3" s="8" t="s">
        <v>27</v>
      </c>
      <c r="C3" s="24">
        <v>29.9</v>
      </c>
      <c r="D3" s="24">
        <v>29.9</v>
      </c>
      <c r="E3" s="24">
        <v>30</v>
      </c>
      <c r="F3" s="24">
        <v>30</v>
      </c>
      <c r="G3" s="18">
        <v>119.8</v>
      </c>
      <c r="H3">
        <f t="shared" si="0"/>
        <v>29.95</v>
      </c>
      <c r="I3">
        <f t="shared" si="1"/>
        <v>9.9833333333333325</v>
      </c>
    </row>
    <row r="4" spans="1:9" ht="15.75" customHeight="1" x14ac:dyDescent="0.2">
      <c r="A4" s="7">
        <v>3</v>
      </c>
      <c r="B4" s="8" t="s">
        <v>9</v>
      </c>
      <c r="C4" s="24">
        <v>29.6</v>
      </c>
      <c r="D4" s="24">
        <v>29.9</v>
      </c>
      <c r="E4" s="24">
        <v>29.8</v>
      </c>
      <c r="F4" s="24">
        <v>30</v>
      </c>
      <c r="G4" s="18">
        <v>119.3</v>
      </c>
      <c r="H4">
        <f t="shared" si="0"/>
        <v>29.824999999999999</v>
      </c>
      <c r="I4">
        <f t="shared" si="1"/>
        <v>9.9416666666666664</v>
      </c>
    </row>
    <row r="5" spans="1:9" ht="15.75" customHeight="1" x14ac:dyDescent="0.2">
      <c r="A5" s="7">
        <v>4</v>
      </c>
      <c r="B5" s="8" t="s">
        <v>10</v>
      </c>
      <c r="C5" s="24">
        <v>29.4</v>
      </c>
      <c r="D5" s="24">
        <v>29.9</v>
      </c>
      <c r="E5" s="24">
        <v>29.9</v>
      </c>
      <c r="F5" s="24">
        <v>30</v>
      </c>
      <c r="G5" s="18">
        <v>119.2</v>
      </c>
      <c r="H5">
        <f t="shared" si="0"/>
        <v>29.8</v>
      </c>
      <c r="I5">
        <f t="shared" si="1"/>
        <v>9.9333333333333336</v>
      </c>
    </row>
    <row r="6" spans="1:9" ht="15.75" customHeight="1" x14ac:dyDescent="0.2">
      <c r="A6" s="7">
        <v>5</v>
      </c>
      <c r="B6" s="8" t="s">
        <v>26</v>
      </c>
      <c r="C6" s="24">
        <v>29.7</v>
      </c>
      <c r="D6" s="24">
        <v>29.5</v>
      </c>
      <c r="E6" s="24">
        <v>30</v>
      </c>
      <c r="F6" s="24">
        <v>30</v>
      </c>
      <c r="G6" s="18">
        <v>119.2</v>
      </c>
      <c r="H6">
        <f t="shared" si="0"/>
        <v>29.8</v>
      </c>
      <c r="I6">
        <f t="shared" si="1"/>
        <v>9.9333333333333336</v>
      </c>
    </row>
    <row r="7" spans="1:9" ht="15.75" customHeight="1" x14ac:dyDescent="0.2">
      <c r="A7" s="7">
        <v>6</v>
      </c>
      <c r="B7" s="8" t="s">
        <v>11</v>
      </c>
      <c r="C7" s="24">
        <v>29.6</v>
      </c>
      <c r="D7" s="24">
        <v>29.8</v>
      </c>
      <c r="E7" s="24">
        <v>29.9</v>
      </c>
      <c r="F7" s="24">
        <v>29.8</v>
      </c>
      <c r="G7" s="18">
        <v>119.1</v>
      </c>
      <c r="H7">
        <f t="shared" si="0"/>
        <v>29.774999999999999</v>
      </c>
      <c r="I7">
        <f t="shared" si="1"/>
        <v>9.9249999999999989</v>
      </c>
    </row>
    <row r="8" spans="1:9" ht="15.75" customHeight="1" x14ac:dyDescent="0.2">
      <c r="A8" s="7">
        <v>7</v>
      </c>
      <c r="B8" s="8" t="s">
        <v>13</v>
      </c>
      <c r="C8" s="24">
        <v>29.2</v>
      </c>
      <c r="D8" s="24">
        <v>29.5</v>
      </c>
      <c r="E8" s="24">
        <v>29.9</v>
      </c>
      <c r="F8" s="24">
        <v>29.9</v>
      </c>
      <c r="G8" s="18">
        <v>118.5</v>
      </c>
      <c r="H8">
        <f t="shared" si="0"/>
        <v>29.625</v>
      </c>
      <c r="I8">
        <f t="shared" si="1"/>
        <v>9.875</v>
      </c>
    </row>
    <row r="9" spans="1:9" ht="15.75" customHeight="1" x14ac:dyDescent="0.2">
      <c r="A9" s="7">
        <v>8</v>
      </c>
      <c r="B9" s="8" t="s">
        <v>12</v>
      </c>
      <c r="C9" s="24">
        <v>29.2</v>
      </c>
      <c r="D9" s="24">
        <v>29.6</v>
      </c>
      <c r="E9" s="24">
        <v>29.7</v>
      </c>
      <c r="F9" s="24">
        <v>29.6</v>
      </c>
      <c r="G9" s="18">
        <v>118.1</v>
      </c>
      <c r="H9">
        <f t="shared" si="0"/>
        <v>29.524999999999999</v>
      </c>
      <c r="I9">
        <f t="shared" si="1"/>
        <v>9.8416666666666668</v>
      </c>
    </row>
    <row r="10" spans="1:9" ht="15.75" customHeight="1" x14ac:dyDescent="0.2">
      <c r="A10" s="7">
        <v>9</v>
      </c>
      <c r="B10" s="8" t="s">
        <v>15</v>
      </c>
      <c r="C10" s="24">
        <v>28.8</v>
      </c>
      <c r="D10" s="24">
        <v>29.5</v>
      </c>
      <c r="E10" s="24">
        <v>29.9</v>
      </c>
      <c r="F10" s="24">
        <v>29.7</v>
      </c>
      <c r="G10" s="18">
        <v>117.9</v>
      </c>
      <c r="H10">
        <f t="shared" si="0"/>
        <v>29.475000000000001</v>
      </c>
      <c r="I10">
        <f t="shared" si="1"/>
        <v>9.8250000000000011</v>
      </c>
    </row>
    <row r="11" spans="1:9" ht="15.75" customHeight="1" x14ac:dyDescent="0.2">
      <c r="A11" s="7">
        <v>10</v>
      </c>
      <c r="B11" s="8" t="s">
        <v>16</v>
      </c>
      <c r="C11" s="24">
        <v>28.5</v>
      </c>
      <c r="D11" s="24">
        <v>29.5</v>
      </c>
      <c r="E11" s="24">
        <v>29.7</v>
      </c>
      <c r="F11" s="24">
        <v>30</v>
      </c>
      <c r="G11" s="18">
        <v>117.7</v>
      </c>
      <c r="H11">
        <f t="shared" si="0"/>
        <v>29.425000000000001</v>
      </c>
      <c r="I11">
        <f t="shared" si="1"/>
        <v>9.8083333333333336</v>
      </c>
    </row>
    <row r="12" spans="1:9" ht="15.75" customHeight="1" x14ac:dyDescent="0.2">
      <c r="A12" s="7">
        <v>11</v>
      </c>
      <c r="B12" s="8" t="s">
        <v>14</v>
      </c>
      <c r="C12" s="24">
        <v>28.3</v>
      </c>
      <c r="D12" s="24">
        <v>29.3</v>
      </c>
      <c r="E12" s="24">
        <v>29.9</v>
      </c>
      <c r="F12" s="24">
        <v>29.9</v>
      </c>
      <c r="G12" s="18">
        <v>117.4</v>
      </c>
      <c r="H12">
        <f t="shared" si="0"/>
        <v>29.35</v>
      </c>
      <c r="I12">
        <f t="shared" si="1"/>
        <v>9.7833333333333332</v>
      </c>
    </row>
    <row r="13" spans="1:9" ht="15.75" customHeight="1" x14ac:dyDescent="0.2">
      <c r="A13" s="7">
        <v>12</v>
      </c>
      <c r="B13" s="8" t="s">
        <v>17</v>
      </c>
      <c r="C13" s="24">
        <v>28.9</v>
      </c>
      <c r="D13" s="24">
        <v>29.4</v>
      </c>
      <c r="E13" s="24">
        <v>29.9</v>
      </c>
      <c r="F13" s="24">
        <v>29.2</v>
      </c>
      <c r="G13" s="18">
        <v>117.4</v>
      </c>
      <c r="H13">
        <f t="shared" si="0"/>
        <v>29.35</v>
      </c>
      <c r="I13">
        <f t="shared" si="1"/>
        <v>9.7833333333333332</v>
      </c>
    </row>
    <row r="14" spans="1:9" ht="15.75" customHeight="1" x14ac:dyDescent="0.2">
      <c r="A14" s="7">
        <v>13</v>
      </c>
      <c r="B14" s="8" t="s">
        <v>18</v>
      </c>
      <c r="C14" s="24">
        <v>28.6</v>
      </c>
      <c r="D14" s="24">
        <v>29.5</v>
      </c>
      <c r="E14" s="24">
        <v>29.5</v>
      </c>
      <c r="F14" s="24">
        <v>29.7</v>
      </c>
      <c r="G14" s="18">
        <v>117.3</v>
      </c>
      <c r="H14">
        <f t="shared" si="0"/>
        <v>29.324999999999999</v>
      </c>
      <c r="I14">
        <f t="shared" si="1"/>
        <v>9.7750000000000004</v>
      </c>
    </row>
    <row r="15" spans="1:9" ht="15.75" customHeight="1" x14ac:dyDescent="0.2">
      <c r="A15" s="7">
        <v>14</v>
      </c>
      <c r="B15" s="8" t="s">
        <v>19</v>
      </c>
      <c r="C15" s="24">
        <v>29.4</v>
      </c>
      <c r="D15" s="24">
        <v>29.3</v>
      </c>
      <c r="E15" s="24">
        <v>30</v>
      </c>
      <c r="F15" s="24">
        <v>0</v>
      </c>
      <c r="G15" s="18">
        <v>88.7</v>
      </c>
      <c r="H15">
        <f t="shared" si="0"/>
        <v>29.566666666666666</v>
      </c>
      <c r="I15">
        <f t="shared" si="1"/>
        <v>9.8555555555555561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0"/>
  <sheetViews>
    <sheetView tabSelected="1" workbookViewId="0">
      <selection activeCell="H15" sqref="H15"/>
    </sheetView>
  </sheetViews>
  <sheetFormatPr defaultRowHeight="12.75" x14ac:dyDescent="0.2"/>
  <cols>
    <col min="1" max="1" width="3.33203125" customWidth="1"/>
    <col min="2" max="2" width="33.5" customWidth="1"/>
    <col min="3" max="4" width="12.6640625" customWidth="1"/>
    <col min="5" max="5" width="12.83203125" customWidth="1"/>
    <col min="6" max="7" width="12.6640625" customWidth="1"/>
  </cols>
  <sheetData>
    <row r="1" spans="1:9" ht="15.75" customHeight="1" x14ac:dyDescent="0.2">
      <c r="A1" t="s">
        <v>33</v>
      </c>
      <c r="B1" s="8"/>
      <c r="C1" s="11" t="s">
        <v>20</v>
      </c>
      <c r="D1" s="11" t="s">
        <v>21</v>
      </c>
      <c r="E1" s="11" t="s">
        <v>22</v>
      </c>
      <c r="F1" s="11" t="s">
        <v>23</v>
      </c>
      <c r="G1" s="12" t="s">
        <v>24</v>
      </c>
      <c r="I1" s="15" t="s">
        <v>35</v>
      </c>
    </row>
    <row r="2" spans="1:9" ht="15.75" customHeight="1" x14ac:dyDescent="0.2">
      <c r="A2" s="13">
        <v>1</v>
      </c>
      <c r="B2" s="14" t="s">
        <v>28</v>
      </c>
      <c r="C2" s="22">
        <v>30</v>
      </c>
      <c r="D2" s="22">
        <v>30</v>
      </c>
      <c r="E2" s="22">
        <v>30</v>
      </c>
      <c r="F2" s="22">
        <v>30</v>
      </c>
      <c r="G2" s="23">
        <v>120</v>
      </c>
      <c r="H2">
        <f t="shared" ref="H2:H15" si="0">G2/COUNTIF(C2:F2,"&lt;&gt;0")</f>
        <v>30</v>
      </c>
      <c r="I2">
        <f t="shared" ref="I2:I15" si="1">H2/3</f>
        <v>10</v>
      </c>
    </row>
    <row r="3" spans="1:9" ht="15.75" customHeight="1" x14ac:dyDescent="0.2">
      <c r="A3" s="7"/>
      <c r="B3" s="8" t="s">
        <v>7</v>
      </c>
      <c r="C3" s="24">
        <v>30</v>
      </c>
      <c r="D3" s="24">
        <v>30</v>
      </c>
      <c r="E3" s="24">
        <v>30</v>
      </c>
      <c r="F3" s="24">
        <v>30</v>
      </c>
      <c r="G3" s="18">
        <v>120</v>
      </c>
      <c r="H3">
        <f t="shared" si="0"/>
        <v>30</v>
      </c>
      <c r="I3">
        <f t="shared" si="1"/>
        <v>10</v>
      </c>
    </row>
    <row r="4" spans="1:9" ht="15.75" customHeight="1" x14ac:dyDescent="0.2">
      <c r="A4" s="7"/>
      <c r="B4" s="8" t="s">
        <v>6</v>
      </c>
      <c r="C4" s="24">
        <v>30</v>
      </c>
      <c r="D4" s="24">
        <v>30</v>
      </c>
      <c r="E4" s="24">
        <v>30</v>
      </c>
      <c r="F4" s="24">
        <v>30</v>
      </c>
      <c r="G4" s="18">
        <v>120</v>
      </c>
      <c r="H4">
        <f t="shared" si="0"/>
        <v>30</v>
      </c>
      <c r="I4">
        <f t="shared" si="1"/>
        <v>10</v>
      </c>
    </row>
    <row r="5" spans="1:9" ht="15.75" customHeight="1" x14ac:dyDescent="0.2">
      <c r="A5" s="7">
        <v>4</v>
      </c>
      <c r="B5" s="8" t="s">
        <v>15</v>
      </c>
      <c r="C5" s="24">
        <v>30</v>
      </c>
      <c r="D5" s="24">
        <v>29.9</v>
      </c>
      <c r="E5" s="24">
        <v>30</v>
      </c>
      <c r="F5" s="24">
        <v>30</v>
      </c>
      <c r="G5" s="18">
        <v>119.9</v>
      </c>
      <c r="H5">
        <f t="shared" si="0"/>
        <v>29.975000000000001</v>
      </c>
      <c r="I5">
        <f t="shared" si="1"/>
        <v>9.9916666666666671</v>
      </c>
    </row>
    <row r="6" spans="1:9" ht="15.75" customHeight="1" x14ac:dyDescent="0.2">
      <c r="A6" s="7">
        <v>5</v>
      </c>
      <c r="B6" s="8" t="s">
        <v>11</v>
      </c>
      <c r="C6" s="24">
        <v>29.8</v>
      </c>
      <c r="D6" s="24">
        <v>30</v>
      </c>
      <c r="E6" s="24">
        <v>30</v>
      </c>
      <c r="F6" s="24">
        <v>30</v>
      </c>
      <c r="G6" s="18">
        <v>119.8</v>
      </c>
      <c r="H6">
        <f t="shared" si="0"/>
        <v>29.95</v>
      </c>
      <c r="I6">
        <f t="shared" si="1"/>
        <v>9.9833333333333325</v>
      </c>
    </row>
    <row r="7" spans="1:9" ht="15.75" customHeight="1" x14ac:dyDescent="0.2">
      <c r="A7" s="7">
        <v>6</v>
      </c>
      <c r="B7" s="8" t="s">
        <v>26</v>
      </c>
      <c r="C7" s="24">
        <v>29.9</v>
      </c>
      <c r="D7" s="24">
        <v>29.7</v>
      </c>
      <c r="E7" s="24">
        <v>30</v>
      </c>
      <c r="F7" s="24">
        <v>30</v>
      </c>
      <c r="G7" s="18">
        <v>119.6</v>
      </c>
      <c r="H7">
        <f t="shared" si="0"/>
        <v>29.9</v>
      </c>
      <c r="I7">
        <f t="shared" si="1"/>
        <v>9.9666666666666668</v>
      </c>
    </row>
    <row r="8" spans="1:9" ht="15.75" customHeight="1" x14ac:dyDescent="0.2">
      <c r="A8" s="7">
        <v>7</v>
      </c>
      <c r="B8" s="8" t="s">
        <v>10</v>
      </c>
      <c r="C8" s="24">
        <v>30</v>
      </c>
      <c r="D8" s="24">
        <v>29.6</v>
      </c>
      <c r="E8" s="24">
        <v>30</v>
      </c>
      <c r="F8" s="24">
        <v>30</v>
      </c>
      <c r="G8" s="18">
        <v>119.6</v>
      </c>
      <c r="H8">
        <f t="shared" si="0"/>
        <v>29.9</v>
      </c>
      <c r="I8">
        <f t="shared" si="1"/>
        <v>9.9666666666666668</v>
      </c>
    </row>
    <row r="9" spans="1:9" ht="15.75" customHeight="1" x14ac:dyDescent="0.2">
      <c r="A9" s="7">
        <v>8</v>
      </c>
      <c r="B9" s="8" t="s">
        <v>14</v>
      </c>
      <c r="C9" s="24">
        <v>29.8</v>
      </c>
      <c r="D9" s="24">
        <v>29.7</v>
      </c>
      <c r="E9" s="24">
        <v>30</v>
      </c>
      <c r="F9" s="24">
        <v>30</v>
      </c>
      <c r="G9" s="18">
        <v>119.5</v>
      </c>
      <c r="H9">
        <f t="shared" si="0"/>
        <v>29.875</v>
      </c>
      <c r="I9">
        <f t="shared" si="1"/>
        <v>9.9583333333333339</v>
      </c>
    </row>
    <row r="10" spans="1:9" ht="15.75" customHeight="1" x14ac:dyDescent="0.2">
      <c r="A10" s="7">
        <v>9</v>
      </c>
      <c r="B10" s="8" t="s">
        <v>12</v>
      </c>
      <c r="C10" s="24">
        <v>29.9</v>
      </c>
      <c r="D10" s="24">
        <v>29.6</v>
      </c>
      <c r="E10" s="24">
        <v>30</v>
      </c>
      <c r="F10" s="24">
        <v>30</v>
      </c>
      <c r="G10" s="18">
        <v>119.5</v>
      </c>
      <c r="H10">
        <f t="shared" si="0"/>
        <v>29.875</v>
      </c>
      <c r="I10">
        <f t="shared" si="1"/>
        <v>9.9583333333333339</v>
      </c>
    </row>
    <row r="11" spans="1:9" ht="15.75" customHeight="1" x14ac:dyDescent="0.2">
      <c r="A11" s="7">
        <v>10</v>
      </c>
      <c r="B11" s="8" t="s">
        <v>16</v>
      </c>
      <c r="C11" s="24">
        <v>29.4</v>
      </c>
      <c r="D11" s="24">
        <v>30</v>
      </c>
      <c r="E11" s="24">
        <v>30</v>
      </c>
      <c r="F11" s="24">
        <v>30</v>
      </c>
      <c r="G11" s="18">
        <v>119.4</v>
      </c>
      <c r="H11">
        <f t="shared" si="0"/>
        <v>29.85</v>
      </c>
      <c r="I11">
        <f t="shared" si="1"/>
        <v>9.9500000000000011</v>
      </c>
    </row>
    <row r="12" spans="1:9" ht="15.75" customHeight="1" x14ac:dyDescent="0.2">
      <c r="A12" s="7">
        <v>11</v>
      </c>
      <c r="B12" s="8" t="s">
        <v>17</v>
      </c>
      <c r="C12" s="24">
        <v>30</v>
      </c>
      <c r="D12" s="24">
        <v>29.4</v>
      </c>
      <c r="E12" s="24">
        <v>30</v>
      </c>
      <c r="F12" s="24">
        <v>29.9</v>
      </c>
      <c r="G12" s="18">
        <v>119.3</v>
      </c>
      <c r="H12">
        <f t="shared" si="0"/>
        <v>29.824999999999999</v>
      </c>
      <c r="I12">
        <f t="shared" si="1"/>
        <v>9.9416666666666664</v>
      </c>
    </row>
    <row r="13" spans="1:9" ht="15.75" customHeight="1" x14ac:dyDescent="0.2">
      <c r="A13" s="7">
        <v>12</v>
      </c>
      <c r="B13" s="8" t="s">
        <v>13</v>
      </c>
      <c r="C13" s="24">
        <v>29.9</v>
      </c>
      <c r="D13" s="24">
        <v>29.6</v>
      </c>
      <c r="E13" s="24">
        <v>30</v>
      </c>
      <c r="F13" s="24">
        <v>29.8</v>
      </c>
      <c r="G13" s="18">
        <v>119.3</v>
      </c>
      <c r="H13">
        <f t="shared" si="0"/>
        <v>29.824999999999999</v>
      </c>
      <c r="I13">
        <f t="shared" si="1"/>
        <v>9.9416666666666664</v>
      </c>
    </row>
    <row r="14" spans="1:9" ht="15.75" customHeight="1" x14ac:dyDescent="0.2">
      <c r="A14" s="7">
        <v>13</v>
      </c>
      <c r="B14" s="8" t="s">
        <v>18</v>
      </c>
      <c r="C14" s="24">
        <v>29.5</v>
      </c>
      <c r="D14" s="24">
        <v>29</v>
      </c>
      <c r="E14" s="24">
        <v>29.7</v>
      </c>
      <c r="F14" s="24">
        <v>30</v>
      </c>
      <c r="G14" s="18">
        <v>118.2</v>
      </c>
      <c r="H14">
        <f t="shared" si="0"/>
        <v>29.55</v>
      </c>
      <c r="I14">
        <f t="shared" si="1"/>
        <v>9.85</v>
      </c>
    </row>
    <row r="15" spans="1:9" ht="15.75" customHeight="1" x14ac:dyDescent="0.2">
      <c r="A15" s="7">
        <v>14</v>
      </c>
      <c r="B15" s="8" t="s">
        <v>19</v>
      </c>
      <c r="C15" s="24">
        <v>29.7</v>
      </c>
      <c r="D15" s="24">
        <v>29.6</v>
      </c>
      <c r="E15" s="24">
        <v>30</v>
      </c>
      <c r="F15" s="24">
        <v>0</v>
      </c>
      <c r="G15" s="18">
        <v>89.3</v>
      </c>
      <c r="H15">
        <f t="shared" si="0"/>
        <v>29.766666666666666</v>
      </c>
      <c r="I15">
        <f t="shared" si="1"/>
        <v>9.9222222222222225</v>
      </c>
    </row>
    <row r="16" spans="1:9" ht="15.75" customHeight="1" x14ac:dyDescent="0.2"/>
    <row r="17" customFormat="1" ht="15.75" customHeight="1" x14ac:dyDescent="0.2"/>
    <row r="18" customFormat="1" ht="15.95" customHeight="1" x14ac:dyDescent="0.2"/>
    <row r="19" customFormat="1" ht="15.95" customHeight="1" x14ac:dyDescent="0.2"/>
    <row r="20" customFormat="1" ht="15.75" customHeight="1" x14ac:dyDescent="0.2"/>
    <row r="21" customFormat="1" ht="15.95" customHeight="1" x14ac:dyDescent="0.2"/>
    <row r="22" customFormat="1" ht="15.75" customHeight="1" x14ac:dyDescent="0.2"/>
    <row r="23" customFormat="1" ht="15.95" customHeight="1" x14ac:dyDescent="0.2"/>
    <row r="24" customFormat="1" ht="15.95" customHeight="1" x14ac:dyDescent="0.2"/>
    <row r="25" customFormat="1" ht="15.75" customHeight="1" x14ac:dyDescent="0.2"/>
    <row r="26" customFormat="1" ht="15.9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95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	</vt:lpstr>
      <vt:lpstr>FIGURINO</vt:lpstr>
      <vt:lpstr>CASAL DE NOIVOS	</vt:lpstr>
      <vt:lpstr>TRILHA SONORA	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aa69d081519554f798a1df0f39fe840ec6ee4595234ae16de1ca3107eb7b9c6f.xlsx</dc:title>
  <dc:creator>Work4</dc:creator>
  <cp:lastModifiedBy>Tiago</cp:lastModifiedBy>
  <dcterms:created xsi:type="dcterms:W3CDTF">2026-03-12T20:27:48Z</dcterms:created>
  <dcterms:modified xsi:type="dcterms:W3CDTF">2026-04-30T23:50:24Z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2026-03-12T00:00:00Z</vt:filetime>
  </property>
  <property fmtid="{D5CDD505-2E9C-101B-9397-08002B2CF9AE}" pid="3" name="Creator">
    <vt:lpwstr>EXCEL.EXE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www.ilovepdf.com</vt:lpwstr>
  </property>
</Properties>
</file>
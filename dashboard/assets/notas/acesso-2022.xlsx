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site-linq-dfe-beta\dashboard\assets\notas\"/>
    </mc:Choice>
  </mc:AlternateContent>
  <xr:revisionPtr revIDLastSave="0" documentId="13_ncr:1_{C0B7C7B8-FB62-4F23-B4F6-7417FFE478C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TOTAL" sheetId="7" r:id="rId1"/>
    <sheet name="COREOGRAFIA" sheetId="1" r:id="rId2"/>
    <sheet name="MARCAÇÃO" sheetId="2" r:id="rId3"/>
    <sheet name="ANIMAÇÃO" sheetId="3" r:id="rId4"/>
    <sheet name="FIGURINO" sheetId="4" r:id="rId5"/>
    <sheet name="CASAL DO NOIVOS" sheetId="5" r:id="rId6"/>
    <sheet name="TRILHA SONOR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6" l="1"/>
  <c r="H14" i="5"/>
  <c r="H14" i="4"/>
  <c r="H14" i="3"/>
  <c r="I14" i="3" s="1"/>
  <c r="H14" i="2"/>
  <c r="H2" i="2"/>
  <c r="I2" i="2" s="1"/>
  <c r="H14" i="1"/>
  <c r="H3" i="1"/>
  <c r="I3" i="1" s="1"/>
  <c r="H4" i="1"/>
  <c r="I4" i="1" s="1"/>
  <c r="H5" i="1"/>
  <c r="H6" i="1"/>
  <c r="I6" i="1" s="1"/>
  <c r="H7" i="1"/>
  <c r="I7" i="1" s="1"/>
  <c r="H8" i="1"/>
  <c r="I8" i="1" s="1"/>
  <c r="H9" i="1"/>
  <c r="H10" i="1"/>
  <c r="H11" i="1"/>
  <c r="I11" i="1" s="1"/>
  <c r="H12" i="1"/>
  <c r="I12" i="1" s="1"/>
  <c r="H13" i="1"/>
  <c r="I14" i="1"/>
  <c r="H2" i="1"/>
  <c r="I2" i="1" s="1"/>
  <c r="H14" i="7"/>
  <c r="I14" i="7" s="1"/>
  <c r="J14" i="7" s="1"/>
  <c r="H3" i="7"/>
  <c r="H4" i="7"/>
  <c r="H5" i="7"/>
  <c r="H6" i="7"/>
  <c r="H7" i="7"/>
  <c r="H8" i="7"/>
  <c r="H9" i="7"/>
  <c r="H10" i="7"/>
  <c r="H11" i="7"/>
  <c r="H12" i="7"/>
  <c r="H13" i="7"/>
  <c r="I5" i="7"/>
  <c r="J5" i="7" s="1"/>
  <c r="I7" i="7"/>
  <c r="J7" i="7" s="1"/>
  <c r="I8" i="7"/>
  <c r="J8" i="7" s="1"/>
  <c r="I3" i="7"/>
  <c r="J3" i="7" s="1"/>
  <c r="I4" i="7"/>
  <c r="J4" i="7" s="1"/>
  <c r="I11" i="7"/>
  <c r="J11" i="7" s="1"/>
  <c r="I12" i="7"/>
  <c r="J12" i="7" s="1"/>
  <c r="H2" i="7"/>
  <c r="I2" i="7" s="1"/>
  <c r="J2" i="7" s="1"/>
  <c r="G3" i="7"/>
  <c r="G4" i="7"/>
  <c r="G5" i="7"/>
  <c r="G6" i="7"/>
  <c r="G7" i="7"/>
  <c r="G8" i="7"/>
  <c r="G9" i="7"/>
  <c r="G10" i="7"/>
  <c r="G11" i="7"/>
  <c r="G12" i="7"/>
  <c r="G13" i="7"/>
  <c r="G14" i="7"/>
  <c r="G2" i="7"/>
  <c r="I14" i="6"/>
  <c r="I14" i="5"/>
  <c r="I14" i="4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I14" i="2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I5" i="1"/>
  <c r="I9" i="1"/>
  <c r="I10" i="1"/>
  <c r="I13" i="1"/>
  <c r="I6" i="7"/>
  <c r="J6" i="7" s="1"/>
  <c r="I13" i="7"/>
  <c r="J13" i="7" s="1"/>
  <c r="I10" i="7" l="1"/>
  <c r="J10" i="7" s="1"/>
  <c r="I9" i="7"/>
  <c r="J9" i="7" s="1"/>
</calcChain>
</file>

<file path=xl/sharedStrings.xml><?xml version="1.0" encoding="utf-8"?>
<sst xmlns="http://schemas.openxmlformats.org/spreadsheetml/2006/main" count="144" uniqueCount="32">
  <si>
    <r>
      <rPr>
        <b/>
        <sz val="10"/>
        <rFont val="Calibri"/>
        <family val="1"/>
      </rPr>
      <t>JUNINA</t>
    </r>
  </si>
  <si>
    <r>
      <rPr>
        <b/>
        <sz val="10"/>
        <rFont val="Calibri"/>
        <family val="1"/>
      </rPr>
      <t>1ª ETAPA</t>
    </r>
  </si>
  <si>
    <r>
      <rPr>
        <b/>
        <sz val="10"/>
        <rFont val="Calibri"/>
        <family val="1"/>
      </rPr>
      <t>2ª ETAPA</t>
    </r>
  </si>
  <si>
    <r>
      <rPr>
        <b/>
        <sz val="10"/>
        <rFont val="Calibri"/>
        <family val="1"/>
      </rPr>
      <t>3ª ETAPA</t>
    </r>
  </si>
  <si>
    <r>
      <rPr>
        <b/>
        <sz val="10"/>
        <rFont val="Calibri"/>
        <family val="1"/>
      </rPr>
      <t>4ª ETAPA</t>
    </r>
  </si>
  <si>
    <r>
      <rPr>
        <b/>
        <sz val="10"/>
        <rFont val="Calibri"/>
        <family val="1"/>
      </rPr>
      <t>TOTAL</t>
    </r>
  </si>
  <si>
    <r>
      <rPr>
        <b/>
        <sz val="10"/>
        <rFont val="Calibri"/>
        <family val="1"/>
      </rPr>
      <t>ELITE DO CERRADO</t>
    </r>
  </si>
  <si>
    <r>
      <rPr>
        <b/>
        <sz val="10"/>
        <rFont val="Calibri"/>
        <family val="1"/>
      </rPr>
      <t>EITA BAGACEIRA</t>
    </r>
  </si>
  <si>
    <r>
      <rPr>
        <b/>
        <sz val="10"/>
        <rFont val="Calibri"/>
        <family val="1"/>
      </rPr>
      <t>PINGA EM MIM</t>
    </r>
  </si>
  <si>
    <r>
      <rPr>
        <sz val="10"/>
        <rFont val="Calibri"/>
        <family val="1"/>
      </rPr>
      <t>CHINELO DE COURO</t>
    </r>
  </si>
  <si>
    <r>
      <rPr>
        <sz val="10"/>
        <rFont val="Calibri"/>
        <family val="1"/>
      </rPr>
      <t>COISAS DA ROÇA</t>
    </r>
  </si>
  <si>
    <r>
      <rPr>
        <sz val="10"/>
        <rFont val="Calibri"/>
        <family val="1"/>
      </rPr>
      <t>AQUARELA NORDESTINA</t>
    </r>
  </si>
  <si>
    <r>
      <rPr>
        <sz val="10"/>
        <rFont val="Calibri"/>
        <family val="1"/>
      </rPr>
      <t>MATINGUEIROS DO SERTÃO</t>
    </r>
  </si>
  <si>
    <r>
      <rPr>
        <sz val="10"/>
        <rFont val="Calibri"/>
        <family val="1"/>
      </rPr>
      <t>OS CABOCLOS DO SERTÃO</t>
    </r>
  </si>
  <si>
    <r>
      <rPr>
        <sz val="10"/>
        <rFont val="Calibri"/>
        <family val="1"/>
      </rPr>
      <t>SACA ROLHA</t>
    </r>
  </si>
  <si>
    <r>
      <rPr>
        <sz val="10"/>
        <rFont val="Calibri"/>
        <family val="1"/>
      </rPr>
      <t>MALA VÉIA</t>
    </r>
  </si>
  <si>
    <r>
      <rPr>
        <sz val="10"/>
        <rFont val="Calibri"/>
        <family val="1"/>
      </rPr>
      <t>ESPALHA BRASA</t>
    </r>
  </si>
  <si>
    <r>
      <rPr>
        <sz val="10"/>
        <rFont val="Calibri"/>
        <family val="1"/>
      </rPr>
      <t>FLOR DO MAMULENGO</t>
    </r>
  </si>
  <si>
    <r>
      <rPr>
        <sz val="10"/>
        <rFont val="Calibri"/>
        <family val="1"/>
      </rPr>
      <t>TRISCOU QUEIMOU</t>
    </r>
  </si>
  <si>
    <r>
      <rPr>
        <sz val="10"/>
        <rFont val="Calibri"/>
        <family val="1"/>
      </rPr>
      <t>1ª ETAPA</t>
    </r>
  </si>
  <si>
    <r>
      <rPr>
        <sz val="10"/>
        <rFont val="Calibri"/>
        <family val="1"/>
      </rPr>
      <t>2ª ETAPA</t>
    </r>
  </si>
  <si>
    <r>
      <rPr>
        <sz val="10"/>
        <rFont val="Calibri"/>
        <family val="1"/>
      </rPr>
      <t>3ª ETAPA</t>
    </r>
  </si>
  <si>
    <r>
      <rPr>
        <sz val="10"/>
        <rFont val="Calibri"/>
        <family val="1"/>
      </rPr>
      <t>4ª ETAPA</t>
    </r>
  </si>
  <si>
    <r>
      <rPr>
        <sz val="10"/>
        <rFont val="Calibri"/>
        <family val="1"/>
      </rPr>
      <t>TOTAL</t>
    </r>
  </si>
  <si>
    <r>
      <rPr>
        <sz val="10"/>
        <rFont val="Calibri"/>
        <family val="1"/>
      </rPr>
      <t>EITA BAGACEIRA</t>
    </r>
  </si>
  <si>
    <r>
      <rPr>
        <sz val="10"/>
        <rFont val="Calibri"/>
        <family val="1"/>
      </rPr>
      <t>PINGA EM MIM</t>
    </r>
  </si>
  <si>
    <r>
      <rPr>
        <sz val="10"/>
        <rFont val="Calibri"/>
        <family val="1"/>
      </rPr>
      <t>MALA VEIA</t>
    </r>
  </si>
  <si>
    <t>MÉDIA REAL</t>
  </si>
  <si>
    <t>MÉDIA</t>
  </si>
  <si>
    <t>MÉDIA ETAPA</t>
  </si>
  <si>
    <t>MÉDIA CIRCUITO</t>
  </si>
  <si>
    <t>DESCLASSIFICADA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</si>
</sst>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b/>
      <sz val="7"/>
      <color rgb="FF000000"/>
      <name val="Calibri"/>
      <family val="2"/>
    </font>
    <font>
      <b/>
      <sz val="10"/>
      <name val="Calibri"/>
      <family val="1"/>
    </font>
    <font>
      <sz val="10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164" fontId="3" fillId="4" borderId="2" xfId="0" applyNumberFormat="1" applyFont="1" applyFill="1" applyBorder="1" applyAlignment="1">
      <alignment horizontal="right" vertical="top" shrinkToFit="1"/>
    </xf>
    <xf numFmtId="164" fontId="2" fillId="5" borderId="2" xfId="0" applyNumberFormat="1" applyFont="1" applyFill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right" vertical="top" shrinkToFit="1"/>
    </xf>
    <xf numFmtId="164" fontId="0" fillId="0" borderId="1" xfId="0" applyNumberFormat="1" applyBorder="1" applyAlignment="1">
      <alignment horizontal="left" wrapText="1"/>
    </xf>
    <xf numFmtId="164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left" vertical="top" wrapText="1" indent="1"/>
    </xf>
    <xf numFmtId="164" fontId="1" fillId="3" borderId="2" xfId="0" applyNumberFormat="1" applyFont="1" applyFill="1" applyBorder="1" applyAlignment="1">
      <alignment horizontal="left" vertical="top" wrapText="1" indent="2"/>
    </xf>
    <xf numFmtId="164" fontId="0" fillId="0" borderId="0" xfId="0" applyNumberFormat="1" applyAlignment="1">
      <alignment horizontal="left" vertical="top"/>
    </xf>
    <xf numFmtId="164" fontId="0" fillId="7" borderId="5" xfId="0" applyNumberFormat="1" applyFill="1" applyBorder="1" applyAlignment="1">
      <alignment horizontal="left" vertical="top"/>
    </xf>
    <xf numFmtId="164" fontId="2" fillId="4" borderId="2" xfId="0" applyNumberFormat="1" applyFont="1" applyFill="1" applyBorder="1" applyAlignment="1">
      <alignment horizontal="center" vertical="top" shrinkToFit="1"/>
    </xf>
    <xf numFmtId="164" fontId="1" fillId="4" borderId="2" xfId="0" applyNumberFormat="1" applyFont="1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 indent="1"/>
    </xf>
    <xf numFmtId="164" fontId="4" fillId="0" borderId="2" xfId="0" applyNumberFormat="1" applyFont="1" applyBorder="1" applyAlignment="1">
      <alignment horizontal="left" vertical="top" wrapText="1" indent="2"/>
    </xf>
    <xf numFmtId="164" fontId="2" fillId="3" borderId="2" xfId="0" applyNumberFormat="1" applyFont="1" applyFill="1" applyBorder="1" applyAlignment="1">
      <alignment horizontal="center" vertical="top" shrinkToFit="1"/>
    </xf>
    <xf numFmtId="164" fontId="1" fillId="3" borderId="2" xfId="0" applyNumberFormat="1" applyFont="1" applyFill="1" applyBorder="1" applyAlignment="1">
      <alignment horizontal="left" vertical="top" wrapText="1"/>
    </xf>
    <xf numFmtId="164" fontId="0" fillId="7" borderId="4" xfId="0" applyNumberFormat="1" applyFill="1" applyBorder="1" applyAlignment="1">
      <alignment horizontal="left" vertical="top"/>
    </xf>
    <xf numFmtId="165" fontId="5" fillId="3" borderId="2" xfId="0" applyNumberFormat="1" applyFont="1" applyFill="1" applyBorder="1" applyAlignment="1">
      <alignment horizontal="right" vertical="top" shrinkToFit="1"/>
    </xf>
    <xf numFmtId="165" fontId="2" fillId="3" borderId="2" xfId="0" applyNumberFormat="1" applyFont="1" applyFill="1" applyBorder="1" applyAlignment="1">
      <alignment horizontal="right" vertical="top" shrinkToFit="1"/>
    </xf>
    <xf numFmtId="165" fontId="5" fillId="6" borderId="2" xfId="0" applyNumberFormat="1" applyFont="1" applyFill="1" applyBorder="1" applyAlignment="1">
      <alignment horizontal="right" vertical="top" shrinkToFit="1"/>
    </xf>
    <xf numFmtId="165" fontId="3" fillId="0" borderId="2" xfId="0" applyNumberFormat="1" applyFont="1" applyBorder="1" applyAlignment="1">
      <alignment horizontal="right" vertical="top" shrinkToFit="1"/>
    </xf>
    <xf numFmtId="164" fontId="0" fillId="0" borderId="3" xfId="0" applyNumberFormat="1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9760-AC26-43DB-A291-7E4EFB740AE9}">
  <dimension ref="A1:J14"/>
  <sheetViews>
    <sheetView workbookViewId="0">
      <selection activeCell="H14" sqref="H14"/>
    </sheetView>
  </sheetViews>
  <sheetFormatPr defaultColWidth="27.5" defaultRowHeight="12.75" x14ac:dyDescent="0.2"/>
  <cols>
    <col min="1" max="1" width="3.5" style="8" bestFit="1" customWidth="1"/>
    <col min="2" max="2" width="26.5" style="8" bestFit="1" customWidth="1"/>
    <col min="3" max="6" width="11" style="8" bestFit="1" customWidth="1"/>
    <col min="7" max="7" width="10" style="8" bestFit="1" customWidth="1"/>
    <col min="8" max="8" width="18.6640625" style="8" bestFit="1" customWidth="1"/>
    <col min="9" max="9" width="15.83203125" style="8" bestFit="1" customWidth="1"/>
    <col min="10" max="16384" width="27.5" style="8"/>
  </cols>
  <sheetData>
    <row r="1" spans="1:10" x14ac:dyDescent="0.2">
      <c r="A1" s="4"/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8" t="s">
        <v>30</v>
      </c>
      <c r="I1" s="8" t="s">
        <v>29</v>
      </c>
      <c r="J1" s="9" t="s">
        <v>27</v>
      </c>
    </row>
    <row r="2" spans="1:10" x14ac:dyDescent="0.2">
      <c r="A2" s="10">
        <v>1</v>
      </c>
      <c r="B2" s="11" t="s">
        <v>6</v>
      </c>
      <c r="C2" s="1">
        <v>180</v>
      </c>
      <c r="D2" s="1">
        <v>179</v>
      </c>
      <c r="E2" s="1">
        <v>179.6</v>
      </c>
      <c r="F2" s="1">
        <v>179.6</v>
      </c>
      <c r="G2" s="2">
        <f>SUM(C2:F2)</f>
        <v>718.2</v>
      </c>
      <c r="H2">
        <f>G2/4</f>
        <v>179.55</v>
      </c>
      <c r="I2">
        <f t="shared" ref="I2:I14" si="0">H2/6</f>
        <v>29.925000000000001</v>
      </c>
      <c r="J2">
        <f t="shared" ref="J2:J14" si="1">I2/3</f>
        <v>9.9749999999999996</v>
      </c>
    </row>
    <row r="3" spans="1:10" x14ac:dyDescent="0.2">
      <c r="A3" s="10">
        <v>2</v>
      </c>
      <c r="B3" s="11" t="s">
        <v>7</v>
      </c>
      <c r="C3" s="1">
        <v>179.6</v>
      </c>
      <c r="D3" s="1">
        <v>178.4</v>
      </c>
      <c r="E3" s="1">
        <v>176.8</v>
      </c>
      <c r="F3" s="1">
        <v>179.6</v>
      </c>
      <c r="G3" s="2">
        <f t="shared" ref="G3:G14" si="2">SUM(C3:F3)</f>
        <v>714.4</v>
      </c>
      <c r="H3">
        <f t="shared" ref="H3:H13" si="3">G3/4</f>
        <v>178.6</v>
      </c>
      <c r="I3">
        <f t="shared" si="0"/>
        <v>29.766666666666666</v>
      </c>
      <c r="J3">
        <f t="shared" si="1"/>
        <v>9.9222222222222225</v>
      </c>
    </row>
    <row r="4" spans="1:10" x14ac:dyDescent="0.2">
      <c r="A4" s="10">
        <v>3</v>
      </c>
      <c r="B4" s="11" t="s">
        <v>8</v>
      </c>
      <c r="C4" s="1">
        <v>179.2</v>
      </c>
      <c r="D4" s="1">
        <v>176.7</v>
      </c>
      <c r="E4" s="1">
        <v>178.3</v>
      </c>
      <c r="F4" s="1">
        <v>178.4</v>
      </c>
      <c r="G4" s="2">
        <f t="shared" si="2"/>
        <v>712.6</v>
      </c>
      <c r="H4">
        <f t="shared" si="3"/>
        <v>178.15</v>
      </c>
      <c r="I4">
        <f t="shared" si="0"/>
        <v>29.691666666666666</v>
      </c>
      <c r="J4">
        <f t="shared" si="1"/>
        <v>9.8972222222222221</v>
      </c>
    </row>
    <row r="5" spans="1:10" x14ac:dyDescent="0.2">
      <c r="A5" s="12">
        <v>4</v>
      </c>
      <c r="B5" s="13" t="s">
        <v>9</v>
      </c>
      <c r="C5" s="3">
        <v>178.8</v>
      </c>
      <c r="D5" s="3">
        <v>175.7</v>
      </c>
      <c r="E5" s="3">
        <v>178.9</v>
      </c>
      <c r="F5" s="3">
        <v>178.6</v>
      </c>
      <c r="G5" s="2">
        <f t="shared" si="2"/>
        <v>712</v>
      </c>
      <c r="H5">
        <f t="shared" si="3"/>
        <v>178</v>
      </c>
      <c r="I5">
        <f t="shared" si="0"/>
        <v>29.666666666666668</v>
      </c>
      <c r="J5">
        <f t="shared" si="1"/>
        <v>9.8888888888888893</v>
      </c>
    </row>
    <row r="6" spans="1:10" x14ac:dyDescent="0.2">
      <c r="A6" s="12">
        <v>5</v>
      </c>
      <c r="B6" s="13" t="s">
        <v>10</v>
      </c>
      <c r="C6" s="3">
        <v>176.6</v>
      </c>
      <c r="D6" s="3">
        <v>175.9</v>
      </c>
      <c r="E6" s="3">
        <v>178.3</v>
      </c>
      <c r="F6" s="3">
        <v>179.4</v>
      </c>
      <c r="G6" s="2">
        <f t="shared" si="2"/>
        <v>710.19999999999993</v>
      </c>
      <c r="H6">
        <f t="shared" si="3"/>
        <v>177.54999999999998</v>
      </c>
      <c r="I6">
        <f t="shared" si="0"/>
        <v>29.591666666666665</v>
      </c>
      <c r="J6">
        <f t="shared" si="1"/>
        <v>9.8638888888888889</v>
      </c>
    </row>
    <row r="7" spans="1:10" x14ac:dyDescent="0.2">
      <c r="A7" s="12">
        <v>6</v>
      </c>
      <c r="B7" s="13" t="s">
        <v>11</v>
      </c>
      <c r="C7" s="3">
        <v>179.1</v>
      </c>
      <c r="D7" s="3">
        <v>177.5</v>
      </c>
      <c r="E7" s="3">
        <v>173.7</v>
      </c>
      <c r="F7" s="3">
        <v>179.1</v>
      </c>
      <c r="G7" s="2">
        <f t="shared" si="2"/>
        <v>709.4</v>
      </c>
      <c r="H7">
        <f t="shared" si="3"/>
        <v>177.35</v>
      </c>
      <c r="I7">
        <f t="shared" si="0"/>
        <v>29.558333333333334</v>
      </c>
      <c r="J7">
        <f t="shared" si="1"/>
        <v>9.8527777777777779</v>
      </c>
    </row>
    <row r="8" spans="1:10" x14ac:dyDescent="0.2">
      <c r="A8" s="12">
        <v>7</v>
      </c>
      <c r="B8" s="13" t="s">
        <v>12</v>
      </c>
      <c r="C8" s="3">
        <v>176.9</v>
      </c>
      <c r="D8" s="3">
        <v>173.6</v>
      </c>
      <c r="E8" s="3">
        <v>173.4</v>
      </c>
      <c r="F8" s="3">
        <v>178.2</v>
      </c>
      <c r="G8" s="2">
        <f t="shared" si="2"/>
        <v>702.09999999999991</v>
      </c>
      <c r="H8">
        <f t="shared" si="3"/>
        <v>175.52499999999998</v>
      </c>
      <c r="I8">
        <f t="shared" si="0"/>
        <v>29.254166666666663</v>
      </c>
      <c r="J8">
        <f t="shared" si="1"/>
        <v>9.7513888888888882</v>
      </c>
    </row>
    <row r="9" spans="1:10" x14ac:dyDescent="0.2">
      <c r="A9" s="12">
        <v>8</v>
      </c>
      <c r="B9" s="13" t="s">
        <v>13</v>
      </c>
      <c r="C9" s="3">
        <v>171.3</v>
      </c>
      <c r="D9" s="3">
        <v>175.6</v>
      </c>
      <c r="E9" s="3">
        <v>177.1</v>
      </c>
      <c r="F9" s="3">
        <v>175.2</v>
      </c>
      <c r="G9" s="2">
        <f t="shared" si="2"/>
        <v>699.2</v>
      </c>
      <c r="H9">
        <f t="shared" si="3"/>
        <v>174.8</v>
      </c>
      <c r="I9">
        <f t="shared" si="0"/>
        <v>29.133333333333336</v>
      </c>
      <c r="J9">
        <f t="shared" si="1"/>
        <v>9.7111111111111121</v>
      </c>
    </row>
    <row r="10" spans="1:10" x14ac:dyDescent="0.2">
      <c r="A10" s="12">
        <v>9</v>
      </c>
      <c r="B10" s="13" t="s">
        <v>14</v>
      </c>
      <c r="C10" s="3">
        <v>167.9</v>
      </c>
      <c r="D10" s="3">
        <v>175.5</v>
      </c>
      <c r="E10" s="3">
        <v>174.8</v>
      </c>
      <c r="F10" s="3">
        <v>177.7</v>
      </c>
      <c r="G10" s="2">
        <f t="shared" si="2"/>
        <v>695.90000000000009</v>
      </c>
      <c r="H10">
        <f t="shared" si="3"/>
        <v>173.97500000000002</v>
      </c>
      <c r="I10">
        <f t="shared" si="0"/>
        <v>28.995833333333337</v>
      </c>
      <c r="J10">
        <f t="shared" si="1"/>
        <v>9.6652777777777796</v>
      </c>
    </row>
    <row r="11" spans="1:10" x14ac:dyDescent="0.2">
      <c r="A11" s="12">
        <v>10</v>
      </c>
      <c r="B11" s="13" t="s">
        <v>15</v>
      </c>
      <c r="C11" s="3">
        <v>170.2</v>
      </c>
      <c r="D11" s="3">
        <v>173.7</v>
      </c>
      <c r="E11" s="3">
        <v>170.2</v>
      </c>
      <c r="F11" s="3">
        <v>178.4</v>
      </c>
      <c r="G11" s="2">
        <f t="shared" si="2"/>
        <v>692.49999999999989</v>
      </c>
      <c r="H11">
        <f t="shared" si="3"/>
        <v>173.12499999999997</v>
      </c>
      <c r="I11">
        <f t="shared" si="0"/>
        <v>28.854166666666661</v>
      </c>
      <c r="J11">
        <f t="shared" si="1"/>
        <v>9.6180555555555536</v>
      </c>
    </row>
    <row r="12" spans="1:10" x14ac:dyDescent="0.2">
      <c r="A12" s="12">
        <v>11</v>
      </c>
      <c r="B12" s="13" t="s">
        <v>16</v>
      </c>
      <c r="C12" s="3">
        <v>172.9</v>
      </c>
      <c r="D12" s="3">
        <v>171.2</v>
      </c>
      <c r="E12" s="3">
        <v>166.1</v>
      </c>
      <c r="F12" s="3">
        <v>176.4</v>
      </c>
      <c r="G12" s="2">
        <f t="shared" si="2"/>
        <v>686.6</v>
      </c>
      <c r="H12">
        <f t="shared" si="3"/>
        <v>171.65</v>
      </c>
      <c r="I12">
        <f t="shared" si="0"/>
        <v>28.608333333333334</v>
      </c>
      <c r="J12">
        <f t="shared" si="1"/>
        <v>9.5361111111111114</v>
      </c>
    </row>
    <row r="13" spans="1:10" x14ac:dyDescent="0.2">
      <c r="A13" s="12">
        <v>12</v>
      </c>
      <c r="B13" s="13" t="s">
        <v>17</v>
      </c>
      <c r="C13" s="3">
        <v>165.5</v>
      </c>
      <c r="D13" s="3">
        <v>172.3</v>
      </c>
      <c r="E13" s="3">
        <v>165.5</v>
      </c>
      <c r="F13" s="3">
        <v>175.3</v>
      </c>
      <c r="G13" s="2">
        <f t="shared" si="2"/>
        <v>678.6</v>
      </c>
      <c r="H13">
        <f t="shared" si="3"/>
        <v>169.65</v>
      </c>
      <c r="I13">
        <f t="shared" si="0"/>
        <v>28.275000000000002</v>
      </c>
      <c r="J13">
        <f t="shared" si="1"/>
        <v>9.4250000000000007</v>
      </c>
    </row>
    <row r="14" spans="1:10" x14ac:dyDescent="0.2">
      <c r="A14" s="12">
        <v>13</v>
      </c>
      <c r="B14" s="13" t="s">
        <v>18</v>
      </c>
      <c r="C14" s="3">
        <v>166.5</v>
      </c>
      <c r="D14" s="3" t="s">
        <v>31</v>
      </c>
      <c r="E14" s="3">
        <v>170.5</v>
      </c>
      <c r="F14" s="3">
        <v>176.5</v>
      </c>
      <c r="G14" s="2">
        <f t="shared" si="2"/>
        <v>513.5</v>
      </c>
      <c r="H14">
        <f>G14/3</f>
        <v>171.16666666666666</v>
      </c>
      <c r="I14">
        <f t="shared" si="0"/>
        <v>28.527777777777775</v>
      </c>
      <c r="J14">
        <f t="shared" si="1"/>
        <v>9.5092592592592577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H14" sqref="H14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29.5</v>
      </c>
      <c r="E2" s="19">
        <v>29.8</v>
      </c>
      <c r="F2" s="19">
        <v>29.8</v>
      </c>
      <c r="G2" s="20">
        <v>119.1</v>
      </c>
      <c r="H2">
        <f>G2/COUNTIF(C2:F2,"&lt;&gt;0")</f>
        <v>29.774999999999999</v>
      </c>
      <c r="I2">
        <f t="shared" ref="I2:I14" si="0">H2/3</f>
        <v>9.9249999999999989</v>
      </c>
    </row>
    <row r="3" spans="1:9" ht="15.95" customHeight="1" x14ac:dyDescent="0.2">
      <c r="A3" s="12">
        <v>2</v>
      </c>
      <c r="B3" s="13" t="s">
        <v>9</v>
      </c>
      <c r="C3" s="21">
        <v>29.8</v>
      </c>
      <c r="D3" s="21">
        <v>29.3</v>
      </c>
      <c r="E3" s="21">
        <v>29.6</v>
      </c>
      <c r="F3" s="21">
        <v>29.5</v>
      </c>
      <c r="G3" s="22">
        <v>118.2</v>
      </c>
      <c r="H3">
        <f t="shared" ref="H3:H14" si="1">G3/COUNTIF(C3:F3,"&lt;&gt;0")</f>
        <v>29.55</v>
      </c>
      <c r="I3">
        <f t="shared" si="0"/>
        <v>9.85</v>
      </c>
    </row>
    <row r="4" spans="1:9" ht="15.95" customHeight="1" x14ac:dyDescent="0.2">
      <c r="A4" s="12">
        <v>3</v>
      </c>
      <c r="B4" s="13" t="s">
        <v>24</v>
      </c>
      <c r="C4" s="21">
        <v>29.9</v>
      </c>
      <c r="D4" s="21">
        <v>28.9</v>
      </c>
      <c r="E4" s="21">
        <v>29.3</v>
      </c>
      <c r="F4" s="21">
        <v>29.7</v>
      </c>
      <c r="G4" s="22">
        <v>117.8</v>
      </c>
      <c r="H4">
        <f t="shared" si="1"/>
        <v>29.45</v>
      </c>
      <c r="I4">
        <f t="shared" si="0"/>
        <v>9.8166666666666664</v>
      </c>
    </row>
    <row r="5" spans="1:9" ht="15.75" customHeight="1" x14ac:dyDescent="0.2">
      <c r="A5" s="12">
        <v>4</v>
      </c>
      <c r="B5" s="13" t="s">
        <v>11</v>
      </c>
      <c r="C5" s="21">
        <v>29.7</v>
      </c>
      <c r="D5" s="21">
        <v>29.2</v>
      </c>
      <c r="E5" s="21">
        <v>28.4</v>
      </c>
      <c r="F5" s="21">
        <v>29.6</v>
      </c>
      <c r="G5" s="22">
        <v>116.9</v>
      </c>
      <c r="H5">
        <f t="shared" si="1"/>
        <v>29.225000000000001</v>
      </c>
      <c r="I5">
        <f t="shared" si="0"/>
        <v>9.7416666666666671</v>
      </c>
    </row>
    <row r="6" spans="1:9" ht="15.95" customHeight="1" x14ac:dyDescent="0.2">
      <c r="A6" s="12">
        <v>5</v>
      </c>
      <c r="B6" s="13" t="s">
        <v>25</v>
      </c>
      <c r="C6" s="21">
        <v>29.4</v>
      </c>
      <c r="D6" s="21">
        <v>28.7</v>
      </c>
      <c r="E6" s="21">
        <v>29.4</v>
      </c>
      <c r="F6" s="21">
        <v>29.4</v>
      </c>
      <c r="G6" s="22">
        <v>116.9</v>
      </c>
      <c r="H6">
        <f t="shared" si="1"/>
        <v>29.225000000000001</v>
      </c>
      <c r="I6">
        <f t="shared" si="0"/>
        <v>9.7416666666666671</v>
      </c>
    </row>
    <row r="7" spans="1:9" ht="15.75" customHeight="1" x14ac:dyDescent="0.2">
      <c r="A7" s="12">
        <v>6</v>
      </c>
      <c r="B7" s="13" t="s">
        <v>10</v>
      </c>
      <c r="C7" s="21">
        <v>28.7</v>
      </c>
      <c r="D7" s="21">
        <v>28.5</v>
      </c>
      <c r="E7" s="21">
        <v>29.2</v>
      </c>
      <c r="F7" s="21">
        <v>29.8</v>
      </c>
      <c r="G7" s="22">
        <v>116.2</v>
      </c>
      <c r="H7">
        <f t="shared" si="1"/>
        <v>29.05</v>
      </c>
      <c r="I7">
        <f t="shared" si="0"/>
        <v>9.6833333333333336</v>
      </c>
    </row>
    <row r="8" spans="1:9" ht="15.95" customHeight="1" x14ac:dyDescent="0.2">
      <c r="A8" s="12">
        <v>7</v>
      </c>
      <c r="B8" s="13" t="s">
        <v>13</v>
      </c>
      <c r="C8" s="21">
        <v>28.2</v>
      </c>
      <c r="D8" s="21">
        <v>29.1</v>
      </c>
      <c r="E8" s="21">
        <v>29.2</v>
      </c>
      <c r="F8" s="21">
        <v>29.2</v>
      </c>
      <c r="G8" s="22">
        <v>115.7</v>
      </c>
      <c r="H8">
        <f t="shared" si="1"/>
        <v>28.925000000000001</v>
      </c>
      <c r="I8">
        <f t="shared" si="0"/>
        <v>9.6416666666666675</v>
      </c>
    </row>
    <row r="9" spans="1:9" ht="15.95" customHeight="1" x14ac:dyDescent="0.2">
      <c r="A9" s="12">
        <v>8</v>
      </c>
      <c r="B9" s="13" t="s">
        <v>26</v>
      </c>
      <c r="C9" s="21">
        <v>28.7</v>
      </c>
      <c r="D9" s="21">
        <v>28.1</v>
      </c>
      <c r="E9" s="21">
        <v>28.5</v>
      </c>
      <c r="F9" s="21">
        <v>29.6</v>
      </c>
      <c r="G9" s="22">
        <v>114.9</v>
      </c>
      <c r="H9">
        <f t="shared" si="1"/>
        <v>28.725000000000001</v>
      </c>
      <c r="I9">
        <f t="shared" si="0"/>
        <v>9.5750000000000011</v>
      </c>
    </row>
    <row r="10" spans="1:9" ht="15.75" customHeight="1" x14ac:dyDescent="0.2">
      <c r="A10" s="12">
        <v>9</v>
      </c>
      <c r="B10" s="13" t="s">
        <v>12</v>
      </c>
      <c r="C10" s="21">
        <v>29.1</v>
      </c>
      <c r="D10" s="21">
        <v>28</v>
      </c>
      <c r="E10" s="21">
        <v>27.7</v>
      </c>
      <c r="F10" s="21">
        <v>29.5</v>
      </c>
      <c r="G10" s="22">
        <v>114.3</v>
      </c>
      <c r="H10">
        <f t="shared" si="1"/>
        <v>28.574999999999999</v>
      </c>
      <c r="I10">
        <f t="shared" si="0"/>
        <v>9.5250000000000004</v>
      </c>
    </row>
    <row r="11" spans="1:9" ht="15.95" customHeight="1" x14ac:dyDescent="0.2">
      <c r="A11" s="12">
        <v>10</v>
      </c>
      <c r="B11" s="13" t="s">
        <v>14</v>
      </c>
      <c r="C11" s="21">
        <v>27.5</v>
      </c>
      <c r="D11" s="21">
        <v>28.8</v>
      </c>
      <c r="E11" s="21">
        <v>28.1</v>
      </c>
      <c r="F11" s="21">
        <v>29.4</v>
      </c>
      <c r="G11" s="22">
        <v>113.8</v>
      </c>
      <c r="H11">
        <f t="shared" si="1"/>
        <v>28.45</v>
      </c>
      <c r="I11">
        <f t="shared" si="0"/>
        <v>9.4833333333333325</v>
      </c>
    </row>
    <row r="12" spans="1:9" ht="15.75" customHeight="1" x14ac:dyDescent="0.2">
      <c r="A12" s="12">
        <v>11</v>
      </c>
      <c r="B12" s="13" t="s">
        <v>16</v>
      </c>
      <c r="C12" s="21">
        <v>28.3</v>
      </c>
      <c r="D12" s="21">
        <v>27.6</v>
      </c>
      <c r="E12" s="21">
        <v>27</v>
      </c>
      <c r="F12" s="21">
        <v>28.9</v>
      </c>
      <c r="G12" s="22">
        <v>111.8</v>
      </c>
      <c r="H12">
        <f t="shared" si="1"/>
        <v>27.95</v>
      </c>
      <c r="I12">
        <f t="shared" si="0"/>
        <v>9.3166666666666664</v>
      </c>
    </row>
    <row r="13" spans="1:9" ht="15.75" customHeight="1" x14ac:dyDescent="0.2">
      <c r="A13" s="12">
        <v>12</v>
      </c>
      <c r="B13" s="13" t="s">
        <v>17</v>
      </c>
      <c r="C13" s="21">
        <v>26.9</v>
      </c>
      <c r="D13" s="21">
        <v>27.3</v>
      </c>
      <c r="E13" s="21">
        <v>26.3</v>
      </c>
      <c r="F13" s="21">
        <v>28.7</v>
      </c>
      <c r="G13" s="22">
        <v>109.2</v>
      </c>
      <c r="H13">
        <f t="shared" si="1"/>
        <v>27.3</v>
      </c>
      <c r="I13">
        <f t="shared" si="0"/>
        <v>9.1</v>
      </c>
    </row>
    <row r="14" spans="1:9" ht="15.75" customHeight="1" x14ac:dyDescent="0.2">
      <c r="A14" s="12">
        <v>13</v>
      </c>
      <c r="B14" s="13" t="s">
        <v>18</v>
      </c>
      <c r="C14" s="21">
        <v>28</v>
      </c>
      <c r="D14" s="3" t="s">
        <v>31</v>
      </c>
      <c r="E14" s="21">
        <v>26.8</v>
      </c>
      <c r="F14" s="21">
        <v>29.1</v>
      </c>
      <c r="G14" s="22">
        <v>83.9</v>
      </c>
      <c r="H14">
        <f>G14/3</f>
        <v>27.966666666666669</v>
      </c>
      <c r="I14">
        <f t="shared" si="0"/>
        <v>9.3222222222222229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D14" sqref="D14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29.8</v>
      </c>
      <c r="E2" s="19">
        <v>30</v>
      </c>
      <c r="F2" s="19">
        <v>30</v>
      </c>
      <c r="G2" s="20">
        <v>119.8</v>
      </c>
      <c r="H2">
        <f t="shared" ref="H2:H14" si="0">G2/COUNTIF(C2:F2,"&lt;&gt;0")</f>
        <v>29.95</v>
      </c>
      <c r="I2">
        <f t="shared" ref="I2:I14" si="1">H2/3</f>
        <v>9.9833333333333325</v>
      </c>
    </row>
    <row r="3" spans="1:9" ht="15.95" customHeight="1" x14ac:dyDescent="0.2">
      <c r="A3" s="12">
        <v>2</v>
      </c>
      <c r="B3" s="13" t="s">
        <v>10</v>
      </c>
      <c r="C3" s="21">
        <v>29.7</v>
      </c>
      <c r="D3" s="21">
        <v>29.8</v>
      </c>
      <c r="E3" s="21">
        <v>30</v>
      </c>
      <c r="F3" s="21">
        <v>30</v>
      </c>
      <c r="G3" s="22">
        <v>119.5</v>
      </c>
      <c r="H3">
        <f t="shared" si="0"/>
        <v>29.875</v>
      </c>
      <c r="I3">
        <f t="shared" si="1"/>
        <v>9.9583333333333339</v>
      </c>
    </row>
    <row r="4" spans="1:9" ht="15.95" customHeight="1" x14ac:dyDescent="0.2">
      <c r="A4" s="12">
        <v>3</v>
      </c>
      <c r="B4" s="13" t="s">
        <v>24</v>
      </c>
      <c r="C4" s="21">
        <v>29.9</v>
      </c>
      <c r="D4" s="21">
        <v>29.8</v>
      </c>
      <c r="E4" s="21">
        <v>29.7</v>
      </c>
      <c r="F4" s="21">
        <v>30</v>
      </c>
      <c r="G4" s="22">
        <v>119.4</v>
      </c>
      <c r="H4">
        <f t="shared" si="0"/>
        <v>29.85</v>
      </c>
      <c r="I4">
        <f t="shared" si="1"/>
        <v>9.9500000000000011</v>
      </c>
    </row>
    <row r="5" spans="1:9" ht="15.75" customHeight="1" x14ac:dyDescent="0.2">
      <c r="A5" s="12">
        <v>4</v>
      </c>
      <c r="B5" s="13" t="s">
        <v>25</v>
      </c>
      <c r="C5" s="21">
        <v>30</v>
      </c>
      <c r="D5" s="21">
        <v>29.1</v>
      </c>
      <c r="E5" s="21">
        <v>29.8</v>
      </c>
      <c r="F5" s="21">
        <v>29.8</v>
      </c>
      <c r="G5" s="22">
        <v>118.7</v>
      </c>
      <c r="H5">
        <f t="shared" si="0"/>
        <v>29.675000000000001</v>
      </c>
      <c r="I5">
        <f t="shared" si="1"/>
        <v>9.8916666666666675</v>
      </c>
    </row>
    <row r="6" spans="1:9" ht="15.95" customHeight="1" x14ac:dyDescent="0.2">
      <c r="A6" s="12">
        <v>5</v>
      </c>
      <c r="B6" s="13" t="s">
        <v>11</v>
      </c>
      <c r="C6" s="21">
        <v>29.9</v>
      </c>
      <c r="D6" s="21">
        <v>29.6</v>
      </c>
      <c r="E6" s="21">
        <v>28.5</v>
      </c>
      <c r="F6" s="21">
        <v>29.9</v>
      </c>
      <c r="G6" s="22">
        <v>117.9</v>
      </c>
      <c r="H6">
        <f t="shared" si="0"/>
        <v>29.475000000000001</v>
      </c>
      <c r="I6">
        <f t="shared" si="1"/>
        <v>9.8250000000000011</v>
      </c>
    </row>
    <row r="7" spans="1:9" ht="15.75" customHeight="1" x14ac:dyDescent="0.2">
      <c r="A7" s="12">
        <v>6</v>
      </c>
      <c r="B7" s="13" t="s">
        <v>12</v>
      </c>
      <c r="C7" s="21">
        <v>30</v>
      </c>
      <c r="D7" s="21">
        <v>29.1</v>
      </c>
      <c r="E7" s="21">
        <v>28.8</v>
      </c>
      <c r="F7" s="21">
        <v>29.9</v>
      </c>
      <c r="G7" s="22">
        <v>117.8</v>
      </c>
      <c r="H7">
        <f t="shared" si="0"/>
        <v>29.45</v>
      </c>
      <c r="I7">
        <f t="shared" si="1"/>
        <v>9.8166666666666664</v>
      </c>
    </row>
    <row r="8" spans="1:9" ht="15.95" customHeight="1" x14ac:dyDescent="0.2">
      <c r="A8" s="12">
        <v>7</v>
      </c>
      <c r="B8" s="13" t="s">
        <v>9</v>
      </c>
      <c r="C8" s="21">
        <v>29.5</v>
      </c>
      <c r="D8" s="21">
        <v>28.4</v>
      </c>
      <c r="E8" s="21">
        <v>29.7</v>
      </c>
      <c r="F8" s="21">
        <v>29.8</v>
      </c>
      <c r="G8" s="22">
        <v>117.4</v>
      </c>
      <c r="H8">
        <f t="shared" si="0"/>
        <v>29.35</v>
      </c>
      <c r="I8">
        <f t="shared" si="1"/>
        <v>9.7833333333333332</v>
      </c>
    </row>
    <row r="9" spans="1:9" ht="15.95" customHeight="1" x14ac:dyDescent="0.2">
      <c r="A9" s="12">
        <v>8</v>
      </c>
      <c r="B9" s="13" t="s">
        <v>14</v>
      </c>
      <c r="C9" s="21">
        <v>28.9</v>
      </c>
      <c r="D9" s="21">
        <v>29</v>
      </c>
      <c r="E9" s="21">
        <v>29.5</v>
      </c>
      <c r="F9" s="21">
        <v>29.7</v>
      </c>
      <c r="G9" s="22">
        <v>117.1</v>
      </c>
      <c r="H9">
        <f t="shared" si="0"/>
        <v>29.274999999999999</v>
      </c>
      <c r="I9">
        <f t="shared" si="1"/>
        <v>9.7583333333333329</v>
      </c>
    </row>
    <row r="10" spans="1:9" ht="15.75" customHeight="1" x14ac:dyDescent="0.2">
      <c r="A10" s="12">
        <v>9</v>
      </c>
      <c r="B10" s="13" t="s">
        <v>26</v>
      </c>
      <c r="C10" s="21">
        <v>28.9</v>
      </c>
      <c r="D10" s="21">
        <v>28.8</v>
      </c>
      <c r="E10" s="21">
        <v>29</v>
      </c>
      <c r="F10" s="21">
        <v>29.9</v>
      </c>
      <c r="G10" s="22">
        <v>116.6</v>
      </c>
      <c r="H10">
        <f t="shared" si="0"/>
        <v>29.15</v>
      </c>
      <c r="I10">
        <f t="shared" si="1"/>
        <v>9.7166666666666668</v>
      </c>
    </row>
    <row r="11" spans="1:9" ht="15.95" customHeight="1" x14ac:dyDescent="0.2">
      <c r="A11" s="12">
        <v>10</v>
      </c>
      <c r="B11" s="13" t="s">
        <v>13</v>
      </c>
      <c r="C11" s="21">
        <v>28.3</v>
      </c>
      <c r="D11" s="21">
        <v>28.8</v>
      </c>
      <c r="E11" s="21">
        <v>29.8</v>
      </c>
      <c r="F11" s="21">
        <v>29.3</v>
      </c>
      <c r="G11" s="22">
        <v>116.2</v>
      </c>
      <c r="H11">
        <f t="shared" si="0"/>
        <v>29.05</v>
      </c>
      <c r="I11">
        <f t="shared" si="1"/>
        <v>9.6833333333333336</v>
      </c>
    </row>
    <row r="12" spans="1:9" ht="15.75" customHeight="1" x14ac:dyDescent="0.2">
      <c r="A12" s="12">
        <v>11</v>
      </c>
      <c r="B12" s="13" t="s">
        <v>17</v>
      </c>
      <c r="C12" s="21">
        <v>28.1</v>
      </c>
      <c r="D12" s="21">
        <v>28.5</v>
      </c>
      <c r="E12" s="21">
        <v>27.5</v>
      </c>
      <c r="F12" s="21">
        <v>29.4</v>
      </c>
      <c r="G12" s="22">
        <v>113.5</v>
      </c>
      <c r="H12">
        <f t="shared" si="0"/>
        <v>28.375</v>
      </c>
      <c r="I12">
        <f t="shared" si="1"/>
        <v>9.4583333333333339</v>
      </c>
    </row>
    <row r="13" spans="1:9" ht="15.75" customHeight="1" x14ac:dyDescent="0.2">
      <c r="A13" s="12">
        <v>12</v>
      </c>
      <c r="B13" s="13" t="s">
        <v>16</v>
      </c>
      <c r="C13" s="21">
        <v>28.5</v>
      </c>
      <c r="D13" s="21">
        <v>28.5</v>
      </c>
      <c r="E13" s="21">
        <v>26.6</v>
      </c>
      <c r="F13" s="21">
        <v>29.4</v>
      </c>
      <c r="G13" s="22">
        <v>113</v>
      </c>
      <c r="H13">
        <f t="shared" si="0"/>
        <v>28.25</v>
      </c>
      <c r="I13">
        <f t="shared" si="1"/>
        <v>9.4166666666666661</v>
      </c>
    </row>
    <row r="14" spans="1:9" ht="15.75" customHeight="1" x14ac:dyDescent="0.2">
      <c r="A14" s="12">
        <v>13</v>
      </c>
      <c r="B14" s="13" t="s">
        <v>18</v>
      </c>
      <c r="C14" s="21">
        <v>27.5</v>
      </c>
      <c r="D14" s="21" t="s">
        <v>31</v>
      </c>
      <c r="E14" s="21">
        <v>29</v>
      </c>
      <c r="F14" s="21">
        <v>29.8</v>
      </c>
      <c r="G14" s="22">
        <v>86.3</v>
      </c>
      <c r="H14">
        <f>G14/3</f>
        <v>28.766666666666666</v>
      </c>
      <c r="I14">
        <f t="shared" si="1"/>
        <v>9.5888888888888886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H15" sqref="H15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H1" s="8" t="s">
        <v>28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29.8</v>
      </c>
      <c r="E2" s="19">
        <v>29.8</v>
      </c>
      <c r="F2" s="19">
        <v>29.9</v>
      </c>
      <c r="G2" s="20">
        <v>119.5</v>
      </c>
      <c r="H2">
        <f t="shared" ref="H2:H14" si="0">G2/COUNTIF(C2:F2,"&lt;&gt;0")</f>
        <v>29.875</v>
      </c>
      <c r="I2">
        <f t="shared" ref="I2:I14" si="1">H2/3</f>
        <v>9.9583333333333339</v>
      </c>
    </row>
    <row r="3" spans="1:9" ht="15.95" customHeight="1" x14ac:dyDescent="0.2">
      <c r="A3" s="12">
        <v>2</v>
      </c>
      <c r="B3" s="13" t="s">
        <v>24</v>
      </c>
      <c r="C3" s="21">
        <v>30</v>
      </c>
      <c r="D3" s="21">
        <v>30</v>
      </c>
      <c r="E3" s="21">
        <v>29.5</v>
      </c>
      <c r="F3" s="21">
        <v>29.9</v>
      </c>
      <c r="G3" s="22">
        <v>119.4</v>
      </c>
      <c r="H3">
        <f t="shared" si="0"/>
        <v>29.85</v>
      </c>
      <c r="I3">
        <f t="shared" si="1"/>
        <v>9.9500000000000011</v>
      </c>
    </row>
    <row r="4" spans="1:9" ht="15.95" customHeight="1" x14ac:dyDescent="0.2">
      <c r="A4" s="12">
        <v>3</v>
      </c>
      <c r="B4" s="13" t="s">
        <v>25</v>
      </c>
      <c r="C4" s="21">
        <v>30</v>
      </c>
      <c r="D4" s="21">
        <v>29.6</v>
      </c>
      <c r="E4" s="21">
        <v>29.7</v>
      </c>
      <c r="F4" s="21">
        <v>29.9</v>
      </c>
      <c r="G4" s="22">
        <v>119.2</v>
      </c>
      <c r="H4">
        <f t="shared" si="0"/>
        <v>29.8</v>
      </c>
      <c r="I4">
        <f t="shared" si="1"/>
        <v>9.9333333333333336</v>
      </c>
    </row>
    <row r="5" spans="1:9" ht="15.75" customHeight="1" x14ac:dyDescent="0.2">
      <c r="A5" s="12">
        <v>4</v>
      </c>
      <c r="B5" s="13" t="s">
        <v>11</v>
      </c>
      <c r="C5" s="21">
        <v>30</v>
      </c>
      <c r="D5" s="21">
        <v>29.9</v>
      </c>
      <c r="E5" s="21">
        <v>29.1</v>
      </c>
      <c r="F5" s="21">
        <v>29.9</v>
      </c>
      <c r="G5" s="22">
        <v>118.9</v>
      </c>
      <c r="H5">
        <f t="shared" si="0"/>
        <v>29.725000000000001</v>
      </c>
      <c r="I5">
        <f t="shared" si="1"/>
        <v>9.9083333333333332</v>
      </c>
    </row>
    <row r="6" spans="1:9" ht="15.95" customHeight="1" x14ac:dyDescent="0.2">
      <c r="A6" s="12">
        <v>5</v>
      </c>
      <c r="B6" s="13" t="s">
        <v>9</v>
      </c>
      <c r="C6" s="21">
        <v>30</v>
      </c>
      <c r="D6" s="21">
        <v>29.2</v>
      </c>
      <c r="E6" s="21">
        <v>29.8</v>
      </c>
      <c r="F6" s="21">
        <v>29.9</v>
      </c>
      <c r="G6" s="22">
        <v>118.9</v>
      </c>
      <c r="H6">
        <f t="shared" si="0"/>
        <v>29.725000000000001</v>
      </c>
      <c r="I6">
        <f t="shared" si="1"/>
        <v>9.9083333333333332</v>
      </c>
    </row>
    <row r="7" spans="1:9" ht="15.75" customHeight="1" x14ac:dyDescent="0.2">
      <c r="A7" s="12">
        <v>6</v>
      </c>
      <c r="B7" s="13" t="s">
        <v>10</v>
      </c>
      <c r="C7" s="21">
        <v>29.1</v>
      </c>
      <c r="D7" s="21">
        <v>28.9</v>
      </c>
      <c r="E7" s="21">
        <v>29.4</v>
      </c>
      <c r="F7" s="21">
        <v>29.9</v>
      </c>
      <c r="G7" s="22">
        <v>117.3</v>
      </c>
      <c r="H7">
        <f t="shared" si="0"/>
        <v>29.324999999999999</v>
      </c>
      <c r="I7">
        <f t="shared" si="1"/>
        <v>9.7750000000000004</v>
      </c>
    </row>
    <row r="8" spans="1:9" ht="15.95" customHeight="1" x14ac:dyDescent="0.2">
      <c r="A8" s="12">
        <v>7</v>
      </c>
      <c r="B8" s="13" t="s">
        <v>14</v>
      </c>
      <c r="C8" s="21">
        <v>28.4</v>
      </c>
      <c r="D8" s="21">
        <v>29.5</v>
      </c>
      <c r="E8" s="21">
        <v>29.1</v>
      </c>
      <c r="F8" s="21">
        <v>29.6</v>
      </c>
      <c r="G8" s="22">
        <v>116.6</v>
      </c>
      <c r="H8">
        <f t="shared" si="0"/>
        <v>29.15</v>
      </c>
      <c r="I8">
        <f t="shared" si="1"/>
        <v>9.7166666666666668</v>
      </c>
    </row>
    <row r="9" spans="1:9" ht="15.95" customHeight="1" x14ac:dyDescent="0.2">
      <c r="A9" s="12">
        <v>8</v>
      </c>
      <c r="B9" s="13" t="s">
        <v>26</v>
      </c>
      <c r="C9" s="21">
        <v>28.7</v>
      </c>
      <c r="D9" s="21">
        <v>28.9</v>
      </c>
      <c r="E9" s="21">
        <v>28.4</v>
      </c>
      <c r="F9" s="21">
        <v>29.7</v>
      </c>
      <c r="G9" s="22">
        <v>115.7</v>
      </c>
      <c r="H9">
        <f t="shared" si="0"/>
        <v>28.925000000000001</v>
      </c>
      <c r="I9">
        <f t="shared" si="1"/>
        <v>9.6416666666666675</v>
      </c>
    </row>
    <row r="10" spans="1:9" ht="15.75" customHeight="1" x14ac:dyDescent="0.2">
      <c r="A10" s="12">
        <v>9</v>
      </c>
      <c r="B10" s="13" t="s">
        <v>13</v>
      </c>
      <c r="C10" s="21">
        <v>28.5</v>
      </c>
      <c r="D10" s="21">
        <v>28.7</v>
      </c>
      <c r="E10" s="21">
        <v>28.9</v>
      </c>
      <c r="F10" s="21">
        <v>29.3</v>
      </c>
      <c r="G10" s="22">
        <v>115.4</v>
      </c>
      <c r="H10">
        <f t="shared" si="0"/>
        <v>28.85</v>
      </c>
      <c r="I10">
        <f t="shared" si="1"/>
        <v>9.6166666666666671</v>
      </c>
    </row>
    <row r="11" spans="1:9" ht="15.95" customHeight="1" x14ac:dyDescent="0.2">
      <c r="A11" s="12">
        <v>10</v>
      </c>
      <c r="B11" s="13" t="s">
        <v>12</v>
      </c>
      <c r="C11" s="21">
        <v>29.4</v>
      </c>
      <c r="D11" s="21">
        <v>28.1</v>
      </c>
      <c r="E11" s="21">
        <v>28.2</v>
      </c>
      <c r="F11" s="21">
        <v>29.5</v>
      </c>
      <c r="G11" s="22">
        <v>115.2</v>
      </c>
      <c r="H11">
        <f t="shared" si="0"/>
        <v>28.8</v>
      </c>
      <c r="I11">
        <f t="shared" si="1"/>
        <v>9.6</v>
      </c>
    </row>
    <row r="12" spans="1:9" ht="15.75" customHeight="1" x14ac:dyDescent="0.2">
      <c r="A12" s="12">
        <v>11</v>
      </c>
      <c r="B12" s="13" t="s">
        <v>16</v>
      </c>
      <c r="C12" s="21">
        <v>28.7</v>
      </c>
      <c r="D12" s="21">
        <v>28.3</v>
      </c>
      <c r="E12" s="21">
        <v>27.9</v>
      </c>
      <c r="F12" s="21">
        <v>29.2</v>
      </c>
      <c r="G12" s="22">
        <v>114.1</v>
      </c>
      <c r="H12">
        <f t="shared" si="0"/>
        <v>28.524999999999999</v>
      </c>
      <c r="I12">
        <f t="shared" si="1"/>
        <v>9.5083333333333329</v>
      </c>
    </row>
    <row r="13" spans="1:9" ht="15.75" customHeight="1" x14ac:dyDescent="0.2">
      <c r="A13" s="12">
        <v>12</v>
      </c>
      <c r="B13" s="13" t="s">
        <v>17</v>
      </c>
      <c r="C13" s="21">
        <v>27.7</v>
      </c>
      <c r="D13" s="21">
        <v>27.6</v>
      </c>
      <c r="E13" s="21">
        <v>27.1</v>
      </c>
      <c r="F13" s="21">
        <v>28.9</v>
      </c>
      <c r="G13" s="22">
        <v>111.3</v>
      </c>
      <c r="H13">
        <f t="shared" si="0"/>
        <v>27.824999999999999</v>
      </c>
      <c r="I13">
        <f t="shared" si="1"/>
        <v>9.2750000000000004</v>
      </c>
    </row>
    <row r="14" spans="1:9" ht="15.75" customHeight="1" x14ac:dyDescent="0.2">
      <c r="A14" s="12">
        <v>13</v>
      </c>
      <c r="B14" s="13" t="s">
        <v>18</v>
      </c>
      <c r="C14" s="21">
        <v>27.3</v>
      </c>
      <c r="D14" s="21" t="s">
        <v>31</v>
      </c>
      <c r="E14" s="21">
        <v>27.6</v>
      </c>
      <c r="F14" s="21">
        <v>29.3</v>
      </c>
      <c r="G14" s="22">
        <v>84.2</v>
      </c>
      <c r="H14">
        <f>G14/3</f>
        <v>28.066666666666666</v>
      </c>
      <c r="I14">
        <f t="shared" si="1"/>
        <v>9.3555555555555561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H15" sqref="H15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30</v>
      </c>
      <c r="E2" s="19">
        <v>30</v>
      </c>
      <c r="F2" s="19">
        <v>29.9</v>
      </c>
      <c r="G2" s="20">
        <v>119.9</v>
      </c>
      <c r="H2">
        <f t="shared" ref="H2:H14" si="0">G2/COUNTIF(C2:F2,"&lt;&gt;0")</f>
        <v>29.975000000000001</v>
      </c>
      <c r="I2">
        <f t="shared" ref="I2:I14" si="1">H2/3</f>
        <v>9.9916666666666671</v>
      </c>
    </row>
    <row r="3" spans="1:9" ht="15.95" customHeight="1" x14ac:dyDescent="0.2">
      <c r="A3" s="12"/>
      <c r="B3" s="13" t="s">
        <v>7</v>
      </c>
      <c r="C3" s="21">
        <v>30</v>
      </c>
      <c r="D3" s="21">
        <v>29.9</v>
      </c>
      <c r="E3" s="21">
        <v>30</v>
      </c>
      <c r="F3" s="21">
        <v>30</v>
      </c>
      <c r="G3" s="22">
        <v>119.9</v>
      </c>
      <c r="H3">
        <f t="shared" si="0"/>
        <v>29.975000000000001</v>
      </c>
      <c r="I3">
        <f t="shared" si="1"/>
        <v>9.9916666666666671</v>
      </c>
    </row>
    <row r="4" spans="1:9" ht="15.95" customHeight="1" x14ac:dyDescent="0.2">
      <c r="A4" s="12">
        <v>3</v>
      </c>
      <c r="B4" s="13" t="s">
        <v>9</v>
      </c>
      <c r="C4" s="21">
        <v>30</v>
      </c>
      <c r="D4" s="21">
        <v>29.8</v>
      </c>
      <c r="E4" s="21">
        <v>30</v>
      </c>
      <c r="F4" s="21">
        <v>30</v>
      </c>
      <c r="G4" s="22">
        <v>119.8</v>
      </c>
      <c r="H4">
        <f t="shared" si="0"/>
        <v>29.95</v>
      </c>
      <c r="I4">
        <f t="shared" si="1"/>
        <v>9.9833333333333325</v>
      </c>
    </row>
    <row r="5" spans="1:9" ht="15.75" customHeight="1" x14ac:dyDescent="0.2">
      <c r="A5" s="12">
        <v>4</v>
      </c>
      <c r="B5" s="13" t="s">
        <v>12</v>
      </c>
      <c r="C5" s="21">
        <v>29.9</v>
      </c>
      <c r="D5" s="21">
        <v>29.8</v>
      </c>
      <c r="E5" s="21">
        <v>30</v>
      </c>
      <c r="F5" s="21">
        <v>29.7</v>
      </c>
      <c r="G5" s="22">
        <v>119.4</v>
      </c>
      <c r="H5">
        <f t="shared" si="0"/>
        <v>29.85</v>
      </c>
      <c r="I5">
        <f t="shared" si="1"/>
        <v>9.9500000000000011</v>
      </c>
    </row>
    <row r="6" spans="1:9" ht="15.95" customHeight="1" x14ac:dyDescent="0.2">
      <c r="A6" s="12">
        <v>5</v>
      </c>
      <c r="B6" s="13" t="s">
        <v>25</v>
      </c>
      <c r="C6" s="21">
        <v>30</v>
      </c>
      <c r="D6" s="21">
        <v>29.7</v>
      </c>
      <c r="E6" s="21">
        <v>29.8</v>
      </c>
      <c r="F6" s="21">
        <v>29.7</v>
      </c>
      <c r="G6" s="22">
        <v>119.2</v>
      </c>
      <c r="H6">
        <f t="shared" si="0"/>
        <v>29.8</v>
      </c>
      <c r="I6">
        <f t="shared" si="1"/>
        <v>9.9333333333333336</v>
      </c>
    </row>
    <row r="7" spans="1:9" ht="15.75" customHeight="1" x14ac:dyDescent="0.2">
      <c r="A7" s="12">
        <v>6</v>
      </c>
      <c r="B7" s="13" t="s">
        <v>10</v>
      </c>
      <c r="C7" s="21">
        <v>29.5</v>
      </c>
      <c r="D7" s="21">
        <v>29.6</v>
      </c>
      <c r="E7" s="21">
        <v>30</v>
      </c>
      <c r="F7" s="21">
        <v>29.9</v>
      </c>
      <c r="G7" s="22">
        <v>119</v>
      </c>
      <c r="H7">
        <f t="shared" si="0"/>
        <v>29.75</v>
      </c>
      <c r="I7">
        <f t="shared" si="1"/>
        <v>9.9166666666666661</v>
      </c>
    </row>
    <row r="8" spans="1:9" ht="15.95" customHeight="1" x14ac:dyDescent="0.2">
      <c r="A8" s="12">
        <v>7</v>
      </c>
      <c r="B8" s="13" t="s">
        <v>11</v>
      </c>
      <c r="C8" s="21">
        <v>30</v>
      </c>
      <c r="D8" s="21">
        <v>29.1</v>
      </c>
      <c r="E8" s="21">
        <v>29.9</v>
      </c>
      <c r="F8" s="21">
        <v>29.9</v>
      </c>
      <c r="G8" s="22">
        <v>118.9</v>
      </c>
      <c r="H8">
        <f t="shared" si="0"/>
        <v>29.725000000000001</v>
      </c>
      <c r="I8">
        <f t="shared" si="1"/>
        <v>9.9083333333333332</v>
      </c>
    </row>
    <row r="9" spans="1:9" ht="15.95" customHeight="1" x14ac:dyDescent="0.2">
      <c r="A9" s="12">
        <v>8</v>
      </c>
      <c r="B9" s="13" t="s">
        <v>13</v>
      </c>
      <c r="C9" s="21">
        <v>29.7</v>
      </c>
      <c r="D9" s="21">
        <v>29.5</v>
      </c>
      <c r="E9" s="21">
        <v>29.8</v>
      </c>
      <c r="F9" s="21">
        <v>29.7</v>
      </c>
      <c r="G9" s="22">
        <v>118.7</v>
      </c>
      <c r="H9">
        <f t="shared" si="0"/>
        <v>29.675000000000001</v>
      </c>
      <c r="I9">
        <f t="shared" si="1"/>
        <v>9.8916666666666675</v>
      </c>
    </row>
    <row r="10" spans="1:9" ht="15.75" customHeight="1" x14ac:dyDescent="0.2">
      <c r="A10" s="12">
        <v>9</v>
      </c>
      <c r="B10" s="13" t="s">
        <v>26</v>
      </c>
      <c r="C10" s="21">
        <v>28.6</v>
      </c>
      <c r="D10" s="21">
        <v>29.1</v>
      </c>
      <c r="E10" s="21">
        <v>29.7</v>
      </c>
      <c r="F10" s="21">
        <v>29.5</v>
      </c>
      <c r="G10" s="22">
        <v>116.9</v>
      </c>
      <c r="H10">
        <f t="shared" si="0"/>
        <v>29.225000000000001</v>
      </c>
      <c r="I10">
        <f t="shared" si="1"/>
        <v>9.7416666666666671</v>
      </c>
    </row>
    <row r="11" spans="1:9" ht="15.95" customHeight="1" x14ac:dyDescent="0.2">
      <c r="A11" s="12">
        <v>10</v>
      </c>
      <c r="B11" s="13" t="s">
        <v>14</v>
      </c>
      <c r="C11" s="21">
        <v>28.3</v>
      </c>
      <c r="D11" s="21">
        <v>29.4</v>
      </c>
      <c r="E11" s="21">
        <v>29.2</v>
      </c>
      <c r="F11" s="21">
        <v>29.7</v>
      </c>
      <c r="G11" s="22">
        <v>116.6</v>
      </c>
      <c r="H11">
        <f t="shared" si="0"/>
        <v>29.15</v>
      </c>
      <c r="I11">
        <f t="shared" si="1"/>
        <v>9.7166666666666668</v>
      </c>
    </row>
    <row r="12" spans="1:9" ht="15.75" customHeight="1" x14ac:dyDescent="0.2">
      <c r="A12" s="12">
        <v>11</v>
      </c>
      <c r="B12" s="13" t="s">
        <v>16</v>
      </c>
      <c r="C12" s="21">
        <v>28.8</v>
      </c>
      <c r="D12" s="21">
        <v>29.3</v>
      </c>
      <c r="E12" s="21">
        <v>28.3</v>
      </c>
      <c r="F12" s="21">
        <v>29.6</v>
      </c>
      <c r="G12" s="22">
        <v>116</v>
      </c>
      <c r="H12">
        <f t="shared" si="0"/>
        <v>29</v>
      </c>
      <c r="I12">
        <f t="shared" si="1"/>
        <v>9.6666666666666661</v>
      </c>
    </row>
    <row r="13" spans="1:9" ht="15.75" customHeight="1" x14ac:dyDescent="0.2">
      <c r="A13" s="12">
        <v>12</v>
      </c>
      <c r="B13" s="13" t="s">
        <v>17</v>
      </c>
      <c r="C13" s="21">
        <v>27.8</v>
      </c>
      <c r="D13" s="21">
        <v>30</v>
      </c>
      <c r="E13" s="21">
        <v>28.2</v>
      </c>
      <c r="F13" s="21">
        <v>29.4</v>
      </c>
      <c r="G13" s="22">
        <v>115.4</v>
      </c>
      <c r="H13">
        <f t="shared" si="0"/>
        <v>28.85</v>
      </c>
      <c r="I13">
        <f t="shared" si="1"/>
        <v>9.6166666666666671</v>
      </c>
    </row>
    <row r="14" spans="1:9" ht="15.75" customHeight="1" x14ac:dyDescent="0.2">
      <c r="A14" s="12">
        <v>13</v>
      </c>
      <c r="B14" s="13" t="s">
        <v>18</v>
      </c>
      <c r="C14" s="21">
        <v>29.2</v>
      </c>
      <c r="D14" s="21" t="s">
        <v>31</v>
      </c>
      <c r="E14" s="21">
        <v>29.8</v>
      </c>
      <c r="F14" s="21">
        <v>29.2</v>
      </c>
      <c r="G14" s="22">
        <v>88.2</v>
      </c>
      <c r="H14">
        <f>G14/3</f>
        <v>29.400000000000002</v>
      </c>
      <c r="I14">
        <f t="shared" si="1"/>
        <v>9.8000000000000007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H14" sqref="H14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29.9</v>
      </c>
      <c r="E2" s="19">
        <v>30</v>
      </c>
      <c r="F2" s="19">
        <v>30</v>
      </c>
      <c r="G2" s="20">
        <v>119.9</v>
      </c>
      <c r="H2">
        <f t="shared" ref="H2:H14" si="0">G2/COUNTIF(C2:F2,"&lt;&gt;0")</f>
        <v>29.975000000000001</v>
      </c>
      <c r="I2">
        <f t="shared" ref="I2:I14" si="1">H2/3</f>
        <v>9.9916666666666671</v>
      </c>
    </row>
    <row r="3" spans="1:9" ht="15.95" customHeight="1" x14ac:dyDescent="0.2">
      <c r="A3" s="12">
        <v>2</v>
      </c>
      <c r="B3" s="13" t="s">
        <v>24</v>
      </c>
      <c r="C3" s="21">
        <v>30</v>
      </c>
      <c r="D3" s="21">
        <v>29.8</v>
      </c>
      <c r="E3" s="21">
        <v>29.9</v>
      </c>
      <c r="F3" s="21">
        <v>30</v>
      </c>
      <c r="G3" s="22">
        <v>119.7</v>
      </c>
      <c r="H3">
        <f t="shared" si="0"/>
        <v>29.925000000000001</v>
      </c>
      <c r="I3">
        <f t="shared" si="1"/>
        <v>9.9749999999999996</v>
      </c>
    </row>
    <row r="4" spans="1:9" ht="15.95" customHeight="1" x14ac:dyDescent="0.2">
      <c r="A4" s="12">
        <v>3</v>
      </c>
      <c r="B4" s="13" t="s">
        <v>25</v>
      </c>
      <c r="C4" s="21">
        <v>29.8</v>
      </c>
      <c r="D4" s="21">
        <v>29.6</v>
      </c>
      <c r="E4" s="21">
        <v>29.6</v>
      </c>
      <c r="F4" s="21">
        <v>29.8</v>
      </c>
      <c r="G4" s="22">
        <v>118.8</v>
      </c>
      <c r="H4">
        <f t="shared" si="0"/>
        <v>29.7</v>
      </c>
      <c r="I4">
        <f t="shared" si="1"/>
        <v>9.9</v>
      </c>
    </row>
    <row r="5" spans="1:9" ht="15.75" customHeight="1" x14ac:dyDescent="0.2">
      <c r="A5" s="12">
        <v>4</v>
      </c>
      <c r="B5" s="13" t="s">
        <v>9</v>
      </c>
      <c r="C5" s="21">
        <v>30</v>
      </c>
      <c r="D5" s="21">
        <v>29.1</v>
      </c>
      <c r="E5" s="21">
        <v>29.8</v>
      </c>
      <c r="F5" s="21">
        <v>29.6</v>
      </c>
      <c r="G5" s="22">
        <v>118.5</v>
      </c>
      <c r="H5">
        <f t="shared" si="0"/>
        <v>29.625</v>
      </c>
      <c r="I5">
        <f t="shared" si="1"/>
        <v>9.875</v>
      </c>
    </row>
    <row r="6" spans="1:9" ht="15.95" customHeight="1" x14ac:dyDescent="0.2">
      <c r="A6" s="12">
        <v>5</v>
      </c>
      <c r="B6" s="13" t="s">
        <v>10</v>
      </c>
      <c r="C6" s="21">
        <v>29.6</v>
      </c>
      <c r="D6" s="21">
        <v>29.2</v>
      </c>
      <c r="E6" s="21">
        <v>29.7</v>
      </c>
      <c r="F6" s="21">
        <v>29.9</v>
      </c>
      <c r="G6" s="22">
        <v>118.4</v>
      </c>
      <c r="H6">
        <f t="shared" si="0"/>
        <v>29.6</v>
      </c>
      <c r="I6">
        <f t="shared" si="1"/>
        <v>9.8666666666666671</v>
      </c>
    </row>
    <row r="7" spans="1:9" ht="15.75" customHeight="1" x14ac:dyDescent="0.2">
      <c r="A7" s="12">
        <v>6</v>
      </c>
      <c r="B7" s="13" t="s">
        <v>11</v>
      </c>
      <c r="C7" s="21">
        <v>29.5</v>
      </c>
      <c r="D7" s="21">
        <v>29.7</v>
      </c>
      <c r="E7" s="21">
        <v>29</v>
      </c>
      <c r="F7" s="21">
        <v>30</v>
      </c>
      <c r="G7" s="22">
        <v>118.2</v>
      </c>
      <c r="H7">
        <f t="shared" si="0"/>
        <v>29.55</v>
      </c>
      <c r="I7">
        <f t="shared" si="1"/>
        <v>9.85</v>
      </c>
    </row>
    <row r="8" spans="1:9" ht="15.95" customHeight="1" x14ac:dyDescent="0.2">
      <c r="A8" s="12">
        <v>7</v>
      </c>
      <c r="B8" s="13" t="s">
        <v>26</v>
      </c>
      <c r="C8" s="21">
        <v>28.7</v>
      </c>
      <c r="D8" s="21">
        <v>29</v>
      </c>
      <c r="E8" s="21">
        <v>30</v>
      </c>
      <c r="F8" s="21">
        <v>29.9</v>
      </c>
      <c r="G8" s="22">
        <v>117.6</v>
      </c>
      <c r="H8">
        <f t="shared" si="0"/>
        <v>29.4</v>
      </c>
      <c r="I8">
        <f t="shared" si="1"/>
        <v>9.7999999999999989</v>
      </c>
    </row>
    <row r="9" spans="1:9" ht="15.95" customHeight="1" x14ac:dyDescent="0.2">
      <c r="A9" s="12">
        <v>8</v>
      </c>
      <c r="B9" s="13" t="s">
        <v>13</v>
      </c>
      <c r="C9" s="21">
        <v>28.4</v>
      </c>
      <c r="D9" s="21">
        <v>29.5</v>
      </c>
      <c r="E9" s="21">
        <v>29.6</v>
      </c>
      <c r="F9" s="21">
        <v>29.5</v>
      </c>
      <c r="G9" s="22">
        <v>117</v>
      </c>
      <c r="H9">
        <f t="shared" si="0"/>
        <v>29.25</v>
      </c>
      <c r="I9">
        <f t="shared" si="1"/>
        <v>9.75</v>
      </c>
    </row>
    <row r="10" spans="1:9" ht="15.75" customHeight="1" x14ac:dyDescent="0.2">
      <c r="A10" s="12">
        <v>9</v>
      </c>
      <c r="B10" s="13" t="s">
        <v>12</v>
      </c>
      <c r="C10" s="21">
        <v>28.7</v>
      </c>
      <c r="D10" s="21">
        <v>28.7</v>
      </c>
      <c r="E10" s="21">
        <v>28.7</v>
      </c>
      <c r="F10" s="21">
        <v>29.6</v>
      </c>
      <c r="G10" s="22">
        <v>115.7</v>
      </c>
      <c r="H10">
        <f t="shared" si="0"/>
        <v>28.925000000000001</v>
      </c>
      <c r="I10">
        <f t="shared" si="1"/>
        <v>9.6416666666666675</v>
      </c>
    </row>
    <row r="11" spans="1:9" ht="15.95" customHeight="1" x14ac:dyDescent="0.2">
      <c r="A11" s="12">
        <v>10</v>
      </c>
      <c r="B11" s="13" t="s">
        <v>16</v>
      </c>
      <c r="C11" s="21">
        <v>29.3</v>
      </c>
      <c r="D11" s="21">
        <v>27.9</v>
      </c>
      <c r="E11" s="21">
        <v>28.2</v>
      </c>
      <c r="F11" s="21">
        <v>29.6</v>
      </c>
      <c r="G11" s="22">
        <v>115</v>
      </c>
      <c r="H11">
        <f t="shared" si="0"/>
        <v>28.75</v>
      </c>
      <c r="I11">
        <f t="shared" si="1"/>
        <v>9.5833333333333339</v>
      </c>
    </row>
    <row r="12" spans="1:9" ht="15.75" customHeight="1" x14ac:dyDescent="0.2">
      <c r="A12" s="12">
        <v>11</v>
      </c>
      <c r="B12" s="13" t="s">
        <v>14</v>
      </c>
      <c r="C12" s="21">
        <v>27.6</v>
      </c>
      <c r="D12" s="21">
        <v>28.8</v>
      </c>
      <c r="E12" s="21">
        <v>29.1</v>
      </c>
      <c r="F12" s="21">
        <v>29.5</v>
      </c>
      <c r="G12" s="22">
        <v>115</v>
      </c>
      <c r="H12">
        <f t="shared" si="0"/>
        <v>28.75</v>
      </c>
      <c r="I12">
        <f t="shared" si="1"/>
        <v>9.5833333333333339</v>
      </c>
    </row>
    <row r="13" spans="1:9" ht="15.75" customHeight="1" x14ac:dyDescent="0.2">
      <c r="A13" s="12">
        <v>12</v>
      </c>
      <c r="B13" s="13" t="s">
        <v>17</v>
      </c>
      <c r="C13" s="21">
        <v>28.9</v>
      </c>
      <c r="D13" s="21">
        <v>28.9</v>
      </c>
      <c r="E13" s="21">
        <v>27.6</v>
      </c>
      <c r="F13" s="21">
        <v>29.5</v>
      </c>
      <c r="G13" s="22">
        <v>114.9</v>
      </c>
      <c r="H13">
        <f t="shared" si="0"/>
        <v>28.725000000000001</v>
      </c>
      <c r="I13">
        <f t="shared" si="1"/>
        <v>9.5750000000000011</v>
      </c>
    </row>
    <row r="14" spans="1:9" ht="15.75" customHeight="1" x14ac:dyDescent="0.2">
      <c r="A14" s="12">
        <v>13</v>
      </c>
      <c r="B14" s="13" t="s">
        <v>18</v>
      </c>
      <c r="C14" s="21">
        <v>27.5</v>
      </c>
      <c r="D14" s="21" t="s">
        <v>31</v>
      </c>
      <c r="E14" s="21">
        <v>28.2</v>
      </c>
      <c r="F14" s="21">
        <v>29.5</v>
      </c>
      <c r="G14" s="22">
        <v>85.2</v>
      </c>
      <c r="H14">
        <f>G14/3</f>
        <v>28.400000000000002</v>
      </c>
      <c r="I14">
        <f t="shared" si="1"/>
        <v>9.4666666666666668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H15" sqref="H15"/>
    </sheetView>
  </sheetViews>
  <sheetFormatPr defaultRowHeight="12.75" x14ac:dyDescent="0.2"/>
  <cols>
    <col min="1" max="1" width="3.33203125" style="8" customWidth="1"/>
    <col min="2" max="2" width="33.5" style="8" customWidth="1"/>
    <col min="3" max="4" width="12.6640625" style="8" customWidth="1"/>
    <col min="5" max="5" width="12.83203125" style="8" customWidth="1"/>
    <col min="6" max="7" width="12.6640625" style="8" customWidth="1"/>
    <col min="8" max="8" width="9.33203125" style="8"/>
    <col min="9" max="9" width="14.1640625" style="8" bestFit="1" customWidth="1"/>
    <col min="10" max="16384" width="9.33203125" style="8"/>
  </cols>
  <sheetData>
    <row r="1" spans="1:9" ht="15.75" customHeight="1" x14ac:dyDescent="0.2">
      <c r="A1" s="23"/>
      <c r="B1" s="24"/>
      <c r="C1" s="14" t="s">
        <v>19</v>
      </c>
      <c r="D1" s="14" t="s">
        <v>20</v>
      </c>
      <c r="E1" s="14" t="s">
        <v>21</v>
      </c>
      <c r="F1" s="14" t="s">
        <v>22</v>
      </c>
      <c r="G1" s="15" t="s">
        <v>23</v>
      </c>
      <c r="I1" s="18" t="s">
        <v>27</v>
      </c>
    </row>
    <row r="2" spans="1:9" ht="15.75" customHeight="1" x14ac:dyDescent="0.2">
      <c r="A2" s="16">
        <v>1</v>
      </c>
      <c r="B2" s="17" t="s">
        <v>6</v>
      </c>
      <c r="C2" s="19">
        <v>30</v>
      </c>
      <c r="D2" s="19">
        <v>30</v>
      </c>
      <c r="E2" s="19">
        <v>30</v>
      </c>
      <c r="F2" s="19">
        <v>30</v>
      </c>
      <c r="G2" s="20">
        <v>120</v>
      </c>
      <c r="H2">
        <f t="shared" ref="H2:H14" si="0">G2/COUNTIF(C2:F2,"&lt;&gt;0")</f>
        <v>30</v>
      </c>
      <c r="I2">
        <f t="shared" ref="I2:I14" si="1">H2/3</f>
        <v>10</v>
      </c>
    </row>
    <row r="3" spans="1:9" ht="15.95" customHeight="1" x14ac:dyDescent="0.2">
      <c r="A3" s="12">
        <v>2</v>
      </c>
      <c r="B3" s="13" t="s">
        <v>24</v>
      </c>
      <c r="C3" s="21">
        <v>30</v>
      </c>
      <c r="D3" s="21">
        <v>30</v>
      </c>
      <c r="E3" s="21">
        <v>29.9</v>
      </c>
      <c r="F3" s="21">
        <v>30</v>
      </c>
      <c r="G3" s="22">
        <v>119.9</v>
      </c>
      <c r="H3">
        <f t="shared" si="0"/>
        <v>29.975000000000001</v>
      </c>
      <c r="I3">
        <f t="shared" si="1"/>
        <v>9.9916666666666671</v>
      </c>
    </row>
    <row r="4" spans="1:9" ht="15.95" customHeight="1" x14ac:dyDescent="0.2">
      <c r="A4" s="12">
        <v>3</v>
      </c>
      <c r="B4" s="13" t="s">
        <v>10</v>
      </c>
      <c r="C4" s="21">
        <v>30</v>
      </c>
      <c r="D4" s="21">
        <v>29.9</v>
      </c>
      <c r="E4" s="21">
        <v>30</v>
      </c>
      <c r="F4" s="21">
        <v>29.9</v>
      </c>
      <c r="G4" s="22">
        <v>119.8</v>
      </c>
      <c r="H4">
        <f t="shared" si="0"/>
        <v>29.95</v>
      </c>
      <c r="I4">
        <f t="shared" si="1"/>
        <v>9.9833333333333325</v>
      </c>
    </row>
    <row r="5" spans="1:9" ht="15.75" customHeight="1" x14ac:dyDescent="0.2">
      <c r="A5" s="12">
        <v>4</v>
      </c>
      <c r="B5" s="13" t="s">
        <v>25</v>
      </c>
      <c r="C5" s="21">
        <v>30</v>
      </c>
      <c r="D5" s="21">
        <v>30</v>
      </c>
      <c r="E5" s="21">
        <v>30</v>
      </c>
      <c r="F5" s="21">
        <v>29.8</v>
      </c>
      <c r="G5" s="22">
        <v>119.8</v>
      </c>
      <c r="H5">
        <f t="shared" si="0"/>
        <v>29.95</v>
      </c>
      <c r="I5">
        <f t="shared" si="1"/>
        <v>9.9833333333333325</v>
      </c>
    </row>
    <row r="6" spans="1:9" ht="15.95" customHeight="1" x14ac:dyDescent="0.2">
      <c r="A6" s="12">
        <v>5</v>
      </c>
      <c r="B6" s="13" t="s">
        <v>9</v>
      </c>
      <c r="C6" s="21">
        <v>30</v>
      </c>
      <c r="D6" s="21">
        <v>29.9</v>
      </c>
      <c r="E6" s="21">
        <v>30</v>
      </c>
      <c r="F6" s="21">
        <v>29.8</v>
      </c>
      <c r="G6" s="22">
        <v>119.7</v>
      </c>
      <c r="H6">
        <f t="shared" si="0"/>
        <v>29.925000000000001</v>
      </c>
      <c r="I6">
        <f t="shared" si="1"/>
        <v>9.9749999999999996</v>
      </c>
    </row>
    <row r="7" spans="1:9" ht="15.75" customHeight="1" x14ac:dyDescent="0.2">
      <c r="A7" s="12">
        <v>6</v>
      </c>
      <c r="B7" s="13" t="s">
        <v>12</v>
      </c>
      <c r="C7" s="21">
        <v>29.8</v>
      </c>
      <c r="D7" s="21">
        <v>29.9</v>
      </c>
      <c r="E7" s="21">
        <v>30</v>
      </c>
      <c r="F7" s="21">
        <v>30</v>
      </c>
      <c r="G7" s="22">
        <v>119.7</v>
      </c>
      <c r="H7">
        <f t="shared" si="0"/>
        <v>29.925000000000001</v>
      </c>
      <c r="I7">
        <f t="shared" si="1"/>
        <v>9.9749999999999996</v>
      </c>
    </row>
    <row r="8" spans="1:9" ht="15.95" customHeight="1" x14ac:dyDescent="0.2">
      <c r="A8" s="12">
        <v>7</v>
      </c>
      <c r="B8" s="13" t="s">
        <v>11</v>
      </c>
      <c r="C8" s="21">
        <v>30</v>
      </c>
      <c r="D8" s="21">
        <v>30</v>
      </c>
      <c r="E8" s="21">
        <v>28.8</v>
      </c>
      <c r="F8" s="21">
        <v>29.8</v>
      </c>
      <c r="G8" s="22">
        <v>118.6</v>
      </c>
      <c r="H8">
        <f t="shared" si="0"/>
        <v>29.65</v>
      </c>
      <c r="I8">
        <f t="shared" si="1"/>
        <v>9.8833333333333329</v>
      </c>
    </row>
    <row r="9" spans="1:9" ht="15.95" customHeight="1" x14ac:dyDescent="0.2">
      <c r="A9" s="12">
        <v>8</v>
      </c>
      <c r="B9" s="13" t="s">
        <v>26</v>
      </c>
      <c r="C9" s="21">
        <v>29.3</v>
      </c>
      <c r="D9" s="21">
        <v>29.8</v>
      </c>
      <c r="E9" s="21">
        <v>29.6</v>
      </c>
      <c r="F9" s="21">
        <v>29.8</v>
      </c>
      <c r="G9" s="22">
        <v>118.5</v>
      </c>
      <c r="H9">
        <f t="shared" si="0"/>
        <v>29.625</v>
      </c>
      <c r="I9">
        <f t="shared" si="1"/>
        <v>9.875</v>
      </c>
    </row>
    <row r="10" spans="1:9" ht="15.75" customHeight="1" x14ac:dyDescent="0.2">
      <c r="A10" s="12">
        <v>9</v>
      </c>
      <c r="B10" s="13" t="s">
        <v>13</v>
      </c>
      <c r="C10" s="21">
        <v>28.4</v>
      </c>
      <c r="D10" s="21">
        <v>30</v>
      </c>
      <c r="E10" s="21">
        <v>29.8</v>
      </c>
      <c r="F10" s="21">
        <v>29.7</v>
      </c>
      <c r="G10" s="22">
        <v>117.9</v>
      </c>
      <c r="H10">
        <f t="shared" si="0"/>
        <v>29.475000000000001</v>
      </c>
      <c r="I10">
        <f t="shared" si="1"/>
        <v>9.8250000000000011</v>
      </c>
    </row>
    <row r="11" spans="1:9" ht="15.95" customHeight="1" x14ac:dyDescent="0.2">
      <c r="A11" s="12">
        <v>10</v>
      </c>
      <c r="B11" s="13" t="s">
        <v>14</v>
      </c>
      <c r="C11" s="21">
        <v>27.7</v>
      </c>
      <c r="D11" s="21">
        <v>30</v>
      </c>
      <c r="E11" s="21">
        <v>29.8</v>
      </c>
      <c r="F11" s="21">
        <v>29.8</v>
      </c>
      <c r="G11" s="22">
        <v>117.3</v>
      </c>
      <c r="H11">
        <f t="shared" si="0"/>
        <v>29.324999999999999</v>
      </c>
      <c r="I11">
        <f t="shared" si="1"/>
        <v>9.7750000000000004</v>
      </c>
    </row>
    <row r="12" spans="1:9" ht="15.75" customHeight="1" x14ac:dyDescent="0.2">
      <c r="A12" s="12">
        <v>11</v>
      </c>
      <c r="B12" s="13" t="s">
        <v>16</v>
      </c>
      <c r="C12" s="21">
        <v>29.3</v>
      </c>
      <c r="D12" s="21">
        <v>29.6</v>
      </c>
      <c r="E12" s="21">
        <v>28.3</v>
      </c>
      <c r="F12" s="21">
        <v>29.7</v>
      </c>
      <c r="G12" s="22">
        <v>116.9</v>
      </c>
      <c r="H12">
        <f t="shared" si="0"/>
        <v>29.225000000000001</v>
      </c>
      <c r="I12">
        <f t="shared" si="1"/>
        <v>9.7416666666666671</v>
      </c>
    </row>
    <row r="13" spans="1:9" ht="15.75" customHeight="1" x14ac:dyDescent="0.2">
      <c r="A13" s="12">
        <v>12</v>
      </c>
      <c r="B13" s="13" t="s">
        <v>17</v>
      </c>
      <c r="C13" s="21">
        <v>28.3</v>
      </c>
      <c r="D13" s="21">
        <v>30</v>
      </c>
      <c r="E13" s="21">
        <v>28.8</v>
      </c>
      <c r="F13" s="21">
        <v>29.4</v>
      </c>
      <c r="G13" s="22">
        <v>116.5</v>
      </c>
      <c r="H13">
        <f t="shared" si="0"/>
        <v>29.125</v>
      </c>
      <c r="I13">
        <f t="shared" si="1"/>
        <v>9.7083333333333339</v>
      </c>
    </row>
    <row r="14" spans="1:9" ht="15.75" customHeight="1" x14ac:dyDescent="0.2">
      <c r="A14" s="12">
        <v>13</v>
      </c>
      <c r="B14" s="13" t="s">
        <v>18</v>
      </c>
      <c r="C14" s="21">
        <v>27.5</v>
      </c>
      <c r="D14" s="21" t="s">
        <v>31</v>
      </c>
      <c r="E14" s="21">
        <v>29.1</v>
      </c>
      <c r="F14" s="21">
        <v>29.6</v>
      </c>
      <c r="G14" s="22">
        <v>86.2</v>
      </c>
      <c r="H14">
        <f>G14/3</f>
        <v>28.733333333333334</v>
      </c>
      <c r="I14">
        <f t="shared" si="1"/>
        <v>9.5777777777777775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</vt:lpstr>
      <vt:lpstr>CASAL DO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e506e5675554a47eec29531626cec8d946390a733ca6491f5fe1f34c15789cb3.xlsx</dc:title>
  <dc:creator>Work4</dc:creator>
  <cp:lastModifiedBy>Tiago</cp:lastModifiedBy>
  <dcterms:created xsi:type="dcterms:W3CDTF">2026-03-12T20:28:07Z</dcterms:created>
  <dcterms:modified xsi:type="dcterms:W3CDTF">2026-04-30T23:48:45Z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www.ilovepdf.com</vt:lpwstr>
  </property>
</Properties>
</file>
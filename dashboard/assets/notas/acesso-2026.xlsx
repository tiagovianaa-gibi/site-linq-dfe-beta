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site-linq-dfe-beta\dashboard\assets\notas\"/>
    </mc:Choice>
  </mc:AlternateContent>
  <xr:revisionPtr revIDLastSave="0" documentId="13_ncr:1_{D8D361C0-C8B8-4E12-B747-C498F62300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9" r:id="rId1"/>
    <sheet name="COREOGRAFIA" sheetId="26" r:id="rId2"/>
    <sheet name="MARCAÇÃO" sheetId="27" r:id="rId3"/>
    <sheet name="ANIMAÇÃO" sheetId="28" r:id="rId4"/>
    <sheet name="FIGURINO" sheetId="29" r:id="rId5"/>
    <sheet name="CASAL DE NOIVOS" sheetId="30" r:id="rId6"/>
    <sheet name="TRILHA SONORA" sheetId="3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9" l="1"/>
  <c r="G3" i="19" s="1"/>
  <c r="H3" i="19" s="1"/>
  <c r="F4" i="19"/>
  <c r="G4" i="19"/>
  <c r="H4" i="19"/>
  <c r="F5" i="19"/>
  <c r="G5" i="19"/>
  <c r="H5" i="19" s="1"/>
  <c r="F6" i="19"/>
  <c r="G6" i="19"/>
  <c r="H6" i="19"/>
  <c r="F7" i="19"/>
  <c r="G7" i="19"/>
  <c r="H7" i="19"/>
  <c r="F8" i="19"/>
  <c r="G8" i="19" s="1"/>
  <c r="H8" i="19" s="1"/>
  <c r="F9" i="19"/>
  <c r="G9" i="19"/>
  <c r="H9" i="19"/>
  <c r="F10" i="19"/>
  <c r="G10" i="19"/>
  <c r="H10" i="19"/>
  <c r="F11" i="19"/>
  <c r="G11" i="19" s="1"/>
  <c r="H11" i="19" s="1"/>
  <c r="F12" i="19"/>
  <c r="G12" i="19"/>
  <c r="H12" i="19"/>
  <c r="F2" i="19"/>
  <c r="G2" i="19" s="1"/>
  <c r="H2" i="19" s="1"/>
  <c r="E3" i="19" l="1"/>
  <c r="E4" i="19"/>
  <c r="E5" i="19"/>
  <c r="E6" i="19"/>
  <c r="E7" i="19"/>
  <c r="E8" i="19"/>
  <c r="E9" i="19"/>
  <c r="E10" i="19"/>
  <c r="E11" i="19"/>
  <c r="E12" i="19"/>
  <c r="E2" i="19"/>
  <c r="E12" i="31"/>
  <c r="F12" i="31" s="1"/>
  <c r="G12" i="31" s="1"/>
  <c r="E11" i="31"/>
  <c r="F11" i="31" s="1"/>
  <c r="G11" i="31" s="1"/>
  <c r="E10" i="31"/>
  <c r="F10" i="31" s="1"/>
  <c r="G10" i="31" s="1"/>
  <c r="E9" i="31"/>
  <c r="F9" i="31" s="1"/>
  <c r="G9" i="31" s="1"/>
  <c r="E8" i="31"/>
  <c r="F8" i="31" s="1"/>
  <c r="G8" i="31" s="1"/>
  <c r="E7" i="31"/>
  <c r="F7" i="31" s="1"/>
  <c r="G7" i="31" s="1"/>
  <c r="E6" i="31"/>
  <c r="F6" i="31" s="1"/>
  <c r="G6" i="31" s="1"/>
  <c r="E5" i="31"/>
  <c r="F5" i="31" s="1"/>
  <c r="G5" i="31" s="1"/>
  <c r="E4" i="31"/>
  <c r="F4" i="31" s="1"/>
  <c r="G4" i="31" s="1"/>
  <c r="E3" i="31"/>
  <c r="F3" i="31" s="1"/>
  <c r="G3" i="31" s="1"/>
  <c r="E2" i="31"/>
  <c r="F2" i="31" s="1"/>
  <c r="G2" i="31" s="1"/>
  <c r="F12" i="30"/>
  <c r="G12" i="30" s="1"/>
  <c r="E12" i="30"/>
  <c r="E11" i="30"/>
  <c r="F11" i="30" s="1"/>
  <c r="G11" i="30" s="1"/>
  <c r="E10" i="30"/>
  <c r="F10" i="30" s="1"/>
  <c r="G10" i="30" s="1"/>
  <c r="E9" i="30"/>
  <c r="F9" i="30" s="1"/>
  <c r="G9" i="30" s="1"/>
  <c r="E8" i="30"/>
  <c r="F8" i="30" s="1"/>
  <c r="G8" i="30" s="1"/>
  <c r="E7" i="30"/>
  <c r="F7" i="30" s="1"/>
  <c r="G7" i="30" s="1"/>
  <c r="F6" i="30"/>
  <c r="G6" i="30" s="1"/>
  <c r="E6" i="30"/>
  <c r="E5" i="30"/>
  <c r="F5" i="30" s="1"/>
  <c r="G5" i="30" s="1"/>
  <c r="F4" i="30"/>
  <c r="G4" i="30" s="1"/>
  <c r="E4" i="30"/>
  <c r="E3" i="30"/>
  <c r="F3" i="30" s="1"/>
  <c r="G3" i="30" s="1"/>
  <c r="E2" i="30"/>
  <c r="F2" i="30" s="1"/>
  <c r="G2" i="30" s="1"/>
  <c r="E12" i="29"/>
  <c r="F12" i="29" s="1"/>
  <c r="G12" i="29" s="1"/>
  <c r="E11" i="29"/>
  <c r="F11" i="29" s="1"/>
  <c r="G11" i="29" s="1"/>
  <c r="F10" i="29"/>
  <c r="G10" i="29" s="1"/>
  <c r="E10" i="29"/>
  <c r="E9" i="29"/>
  <c r="F9" i="29" s="1"/>
  <c r="G9" i="29" s="1"/>
  <c r="E8" i="29"/>
  <c r="F8" i="29" s="1"/>
  <c r="G8" i="29" s="1"/>
  <c r="E7" i="29"/>
  <c r="F7" i="29" s="1"/>
  <c r="G7" i="29" s="1"/>
  <c r="E6" i="29"/>
  <c r="F6" i="29" s="1"/>
  <c r="G6" i="29" s="1"/>
  <c r="E5" i="29"/>
  <c r="F5" i="29" s="1"/>
  <c r="G5" i="29" s="1"/>
  <c r="E4" i="29"/>
  <c r="F4" i="29" s="1"/>
  <c r="G4" i="29" s="1"/>
  <c r="E3" i="29"/>
  <c r="F3" i="29" s="1"/>
  <c r="G3" i="29" s="1"/>
  <c r="E2" i="29"/>
  <c r="F2" i="29" s="1"/>
  <c r="G2" i="29" s="1"/>
  <c r="E12" i="28"/>
  <c r="F12" i="28" s="1"/>
  <c r="G12" i="28" s="1"/>
  <c r="E11" i="28"/>
  <c r="F11" i="28" s="1"/>
  <c r="G11" i="28" s="1"/>
  <c r="F10" i="28"/>
  <c r="G10" i="28" s="1"/>
  <c r="E10" i="28"/>
  <c r="E9" i="28"/>
  <c r="F9" i="28" s="1"/>
  <c r="G9" i="28" s="1"/>
  <c r="E8" i="28"/>
  <c r="F8" i="28" s="1"/>
  <c r="G8" i="28" s="1"/>
  <c r="E7" i="28"/>
  <c r="F7" i="28" s="1"/>
  <c r="G7" i="28" s="1"/>
  <c r="E6" i="28"/>
  <c r="F6" i="28" s="1"/>
  <c r="G6" i="28" s="1"/>
  <c r="E5" i="28"/>
  <c r="F5" i="28" s="1"/>
  <c r="G5" i="28" s="1"/>
  <c r="E4" i="28"/>
  <c r="F4" i="28" s="1"/>
  <c r="G4" i="28" s="1"/>
  <c r="E3" i="28"/>
  <c r="F3" i="28" s="1"/>
  <c r="G3" i="28" s="1"/>
  <c r="F2" i="28"/>
  <c r="G2" i="28" s="1"/>
  <c r="E2" i="28"/>
  <c r="E12" i="27"/>
  <c r="F12" i="27" s="1"/>
  <c r="G12" i="27" s="1"/>
  <c r="E11" i="27"/>
  <c r="F11" i="27" s="1"/>
  <c r="G11" i="27" s="1"/>
  <c r="F10" i="27"/>
  <c r="G10" i="27" s="1"/>
  <c r="E10" i="27"/>
  <c r="E9" i="27"/>
  <c r="F9" i="27" s="1"/>
  <c r="G9" i="27" s="1"/>
  <c r="E8" i="27"/>
  <c r="F8" i="27" s="1"/>
  <c r="G8" i="27" s="1"/>
  <c r="E7" i="27"/>
  <c r="F7" i="27" s="1"/>
  <c r="G7" i="27" s="1"/>
  <c r="E6" i="27"/>
  <c r="F6" i="27" s="1"/>
  <c r="G6" i="27" s="1"/>
  <c r="E5" i="27"/>
  <c r="F5" i="27" s="1"/>
  <c r="G5" i="27" s="1"/>
  <c r="E4" i="27"/>
  <c r="F4" i="27" s="1"/>
  <c r="G4" i="27" s="1"/>
  <c r="E3" i="27"/>
  <c r="F3" i="27" s="1"/>
  <c r="G3" i="27" s="1"/>
  <c r="F2" i="27"/>
  <c r="G2" i="27" s="1"/>
  <c r="E2" i="27"/>
  <c r="E12" i="26"/>
  <c r="F12" i="26"/>
  <c r="G12" i="26" s="1"/>
  <c r="F3" i="26"/>
  <c r="G3" i="26"/>
  <c r="F4" i="26"/>
  <c r="G4" i="26" s="1"/>
  <c r="F5" i="26"/>
  <c r="G5" i="26" s="1"/>
  <c r="F6" i="26"/>
  <c r="G6" i="26" s="1"/>
  <c r="F7" i="26"/>
  <c r="G7" i="26" s="1"/>
  <c r="F8" i="26"/>
  <c r="G8" i="26" s="1"/>
  <c r="F11" i="26"/>
  <c r="G11" i="26" s="1"/>
  <c r="F2" i="26"/>
  <c r="E3" i="26"/>
  <c r="E4" i="26"/>
  <c r="E5" i="26"/>
  <c r="E6" i="26"/>
  <c r="E7" i="26"/>
  <c r="E8" i="26"/>
  <c r="E9" i="26"/>
  <c r="F9" i="26" s="1"/>
  <c r="G9" i="26" s="1"/>
  <c r="E10" i="26"/>
  <c r="F10" i="26" s="1"/>
  <c r="G10" i="26" s="1"/>
  <c r="E11" i="26"/>
  <c r="E2" i="26"/>
  <c r="G2" i="26" l="1"/>
</calcChain>
</file>

<file path=xl/sharedStrings.xml><?xml version="1.0" encoding="utf-8"?>
<sst xmlns="http://schemas.openxmlformats.org/spreadsheetml/2006/main" count="119" uniqueCount="23">
  <si>
    <r>
      <rPr>
        <b/>
        <sz val="14"/>
        <rFont val="Calibri"/>
        <family val="1"/>
      </rPr>
      <t>QUADRILHAS</t>
    </r>
  </si>
  <si>
    <r>
      <rPr>
        <b/>
        <sz val="14"/>
        <rFont val="Calibri"/>
        <family val="1"/>
      </rPr>
      <t>1ª ETAPA</t>
    </r>
  </si>
  <si>
    <r>
      <rPr>
        <b/>
        <sz val="14"/>
        <rFont val="Calibri"/>
        <family val="1"/>
      </rPr>
      <t>2ª ETAPA</t>
    </r>
  </si>
  <si>
    <r>
      <rPr>
        <b/>
        <sz val="14"/>
        <rFont val="Calibri"/>
        <family val="1"/>
      </rPr>
      <t>3ª ETAPA</t>
    </r>
  </si>
  <si>
    <r>
      <rPr>
        <b/>
        <sz val="14"/>
        <rFont val="Calibri"/>
        <family val="1"/>
      </rPr>
      <t>TOTAL</t>
    </r>
  </si>
  <si>
    <t>1 ETAPA</t>
  </si>
  <si>
    <t>2 ETAPA</t>
  </si>
  <si>
    <t>3 ETAPA</t>
  </si>
  <si>
    <t>QUADRILHA</t>
  </si>
  <si>
    <t>TOTAL</t>
  </si>
  <si>
    <t>MÉDIA REAL</t>
  </si>
  <si>
    <t>média real</t>
  </si>
  <si>
    <t>Arraiá Chapéu de Palha</t>
  </si>
  <si>
    <t>Coisas da Roça</t>
  </si>
  <si>
    <t>Espalha Brasa</t>
  </si>
  <si>
    <t>Fornalha</t>
  </si>
  <si>
    <t>Furacão</t>
  </si>
  <si>
    <t>Matingueiros do Sertão</t>
  </si>
  <si>
    <t>Os Caboclos do Sertão</t>
  </si>
  <si>
    <t>Paixão Cangaço</t>
  </si>
  <si>
    <t>Tengo Lengo</t>
  </si>
  <si>
    <t>Tico Tico no Fubá</t>
  </si>
  <si>
    <t>Xém Nhem Nhém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</si>
</sst>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color rgb="FF000000"/>
      <name val="Times New Roman"/>
      <charset val="204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1"/>
    </font>
    <font>
      <sz val="14"/>
      <color rgb="FF000000"/>
      <name val="Times New Roman"/>
      <family val="1"/>
    </font>
    <font>
      <sz val="8"/>
      <name val="Times New Roman"/>
      <family val="1"/>
    </font>
    <font>
      <sz val="10"/>
      <name val="Microsoft Sans Serif"/>
    </font>
    <font>
      <sz val="10"/>
      <name val="Microsoft Sans Serif"/>
      <family val="2"/>
    </font>
    <font>
      <sz val="8"/>
      <color rgb="FF000000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9079"/>
      </patternFill>
    </fill>
    <fill>
      <patternFill patternType="solid">
        <fgColor rgb="FFEBD1B1"/>
      </patternFill>
    </fill>
    <fill>
      <patternFill patternType="solid">
        <fgColor rgb="FFEB701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 indent="2"/>
    </xf>
    <xf numFmtId="164" fontId="2" fillId="4" borderId="1" xfId="0" applyNumberFormat="1" applyFont="1" applyFill="1" applyBorder="1" applyAlignment="1">
      <alignment horizontal="left" vertical="top" shrinkToFit="1"/>
    </xf>
    <xf numFmtId="164" fontId="2" fillId="4" borderId="1" xfId="0" applyNumberFormat="1" applyFont="1" applyFill="1" applyBorder="1" applyAlignment="1">
      <alignment horizontal="right" vertical="top" shrinkToFit="1"/>
    </xf>
    <xf numFmtId="164" fontId="3" fillId="3" borderId="1" xfId="0" applyNumberFormat="1" applyFont="1" applyFill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165" fontId="2" fillId="2" borderId="1" xfId="0" applyNumberFormat="1" applyFont="1" applyFill="1" applyBorder="1" applyAlignment="1">
      <alignment horizontal="center" vertical="top" shrinkToFit="1"/>
    </xf>
    <xf numFmtId="165" fontId="6" fillId="0" borderId="0" xfId="0" applyNumberFormat="1" applyFont="1" applyAlignment="1">
      <alignment horizontal="left" vertical="top"/>
    </xf>
    <xf numFmtId="164" fontId="10" fillId="0" borderId="1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vertical="top" wrapText="1"/>
    </xf>
    <xf numFmtId="164" fontId="10" fillId="0" borderId="2" xfId="0" applyNumberFormat="1" applyFont="1" applyBorder="1" applyAlignment="1">
      <alignment vertical="top" shrinkToFit="1"/>
    </xf>
    <xf numFmtId="0" fontId="11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164" fontId="10" fillId="0" borderId="1" xfId="0" applyNumberFormat="1" applyFont="1" applyBorder="1" applyAlignment="1">
      <alignment horizontal="right" vertical="top" shrinkToFit="1"/>
    </xf>
    <xf numFmtId="164" fontId="10" fillId="0" borderId="2" xfId="0" applyNumberFormat="1" applyFont="1" applyBorder="1" applyAlignment="1">
      <alignment horizontal="left" vertical="top" shrinkToFit="1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"/>
  <sheetViews>
    <sheetView tabSelected="1" workbookViewId="0">
      <selection activeCell="F2" sqref="F2"/>
    </sheetView>
  </sheetViews>
  <sheetFormatPr defaultRowHeight="12.75" x14ac:dyDescent="0.2"/>
  <cols>
    <col min="1" max="1" width="38.1640625" customWidth="1"/>
    <col min="2" max="4" width="15.1640625" customWidth="1"/>
    <col min="5" max="5" width="16" customWidth="1"/>
    <col min="13" max="13" width="19.1640625" bestFit="1" customWidth="1"/>
  </cols>
  <sheetData>
    <row r="1" spans="1:8" ht="27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H1" t="s">
        <v>11</v>
      </c>
    </row>
    <row r="2" spans="1:8" ht="27" customHeight="1" x14ac:dyDescent="0.2">
      <c r="A2" s="16" t="s">
        <v>12</v>
      </c>
      <c r="B2" s="14">
        <v>176.3</v>
      </c>
      <c r="C2" s="18">
        <v>179.5</v>
      </c>
      <c r="D2" s="4"/>
      <c r="E2" s="5">
        <f>SUM(B2:D2)</f>
        <v>355.8</v>
      </c>
      <c r="F2" s="19">
        <f>E2/2</f>
        <v>177.9</v>
      </c>
      <c r="G2" s="19">
        <f>F2/6</f>
        <v>29.650000000000002</v>
      </c>
      <c r="H2" s="19">
        <f t="shared" ref="H2:H12" si="0">G2/3</f>
        <v>9.8833333333333346</v>
      </c>
    </row>
    <row r="3" spans="1:8" ht="27" customHeight="1" x14ac:dyDescent="0.2">
      <c r="A3" s="16" t="s">
        <v>13</v>
      </c>
      <c r="B3" s="15">
        <v>0</v>
      </c>
      <c r="C3" s="18">
        <v>179.5</v>
      </c>
      <c r="D3" s="6"/>
      <c r="E3" s="5">
        <f t="shared" ref="E3:E12" si="1">SUM(B3:D3)</f>
        <v>179.5</v>
      </c>
      <c r="F3" s="19">
        <f>E3/1</f>
        <v>179.5</v>
      </c>
      <c r="G3" s="19">
        <f t="shared" ref="G3:G12" si="2">F3/6</f>
        <v>29.916666666666668</v>
      </c>
      <c r="H3" s="19">
        <f t="shared" si="0"/>
        <v>9.9722222222222232</v>
      </c>
    </row>
    <row r="4" spans="1:8" ht="27" customHeight="1" x14ac:dyDescent="0.2">
      <c r="A4" s="13" t="s">
        <v>14</v>
      </c>
      <c r="B4" s="14">
        <v>178</v>
      </c>
      <c r="C4" s="18">
        <v>179.8</v>
      </c>
      <c r="D4" s="6"/>
      <c r="E4" s="5">
        <f t="shared" si="1"/>
        <v>357.8</v>
      </c>
      <c r="F4" s="19">
        <f t="shared" ref="F3:F12" si="3">E4/2</f>
        <v>178.9</v>
      </c>
      <c r="G4" s="19">
        <f t="shared" si="2"/>
        <v>29.816666666666666</v>
      </c>
      <c r="H4" s="19">
        <f t="shared" si="0"/>
        <v>9.9388888888888882</v>
      </c>
    </row>
    <row r="5" spans="1:8" ht="27" customHeight="1" x14ac:dyDescent="0.2">
      <c r="A5" s="16" t="s">
        <v>15</v>
      </c>
      <c r="B5" s="14">
        <v>178.1</v>
      </c>
      <c r="C5" s="18">
        <v>179.5</v>
      </c>
      <c r="D5" s="7"/>
      <c r="E5" s="5">
        <f t="shared" si="1"/>
        <v>357.6</v>
      </c>
      <c r="F5" s="19">
        <f t="shared" si="3"/>
        <v>178.8</v>
      </c>
      <c r="G5" s="19">
        <f t="shared" si="2"/>
        <v>29.8</v>
      </c>
      <c r="H5" s="19">
        <f t="shared" si="0"/>
        <v>9.9333333333333336</v>
      </c>
    </row>
    <row r="6" spans="1:8" ht="27" customHeight="1" x14ac:dyDescent="0.2">
      <c r="A6" s="16" t="s">
        <v>16</v>
      </c>
      <c r="B6" s="14">
        <v>173.2</v>
      </c>
      <c r="C6" s="18">
        <v>177.5</v>
      </c>
      <c r="D6" s="7"/>
      <c r="E6" s="5">
        <f t="shared" si="1"/>
        <v>350.7</v>
      </c>
      <c r="F6" s="19">
        <f t="shared" si="3"/>
        <v>175.35</v>
      </c>
      <c r="G6" s="19">
        <f t="shared" si="2"/>
        <v>29.224999999999998</v>
      </c>
      <c r="H6" s="19">
        <f t="shared" si="0"/>
        <v>9.7416666666666654</v>
      </c>
    </row>
    <row r="7" spans="1:8" ht="27" customHeight="1" x14ac:dyDescent="0.2">
      <c r="A7" s="16" t="s">
        <v>17</v>
      </c>
      <c r="B7" s="14">
        <v>177.7</v>
      </c>
      <c r="C7" s="18">
        <v>179.6</v>
      </c>
      <c r="D7" s="7"/>
      <c r="E7" s="5">
        <f t="shared" si="1"/>
        <v>357.29999999999995</v>
      </c>
      <c r="F7" s="19">
        <f t="shared" si="3"/>
        <v>178.64999999999998</v>
      </c>
      <c r="G7" s="19">
        <f t="shared" si="2"/>
        <v>29.774999999999995</v>
      </c>
      <c r="H7" s="19">
        <f t="shared" si="0"/>
        <v>9.9249999999999989</v>
      </c>
    </row>
    <row r="8" spans="1:8" ht="27" customHeight="1" x14ac:dyDescent="0.2">
      <c r="A8" s="16" t="s">
        <v>18</v>
      </c>
      <c r="B8" s="14">
        <v>178.2</v>
      </c>
      <c r="C8" s="18">
        <v>179.7</v>
      </c>
      <c r="D8" s="7"/>
      <c r="E8" s="5">
        <f t="shared" si="1"/>
        <v>357.9</v>
      </c>
      <c r="F8" s="19">
        <f t="shared" si="3"/>
        <v>178.95</v>
      </c>
      <c r="G8" s="19">
        <f t="shared" si="2"/>
        <v>29.824999999999999</v>
      </c>
      <c r="H8" s="19">
        <f t="shared" si="0"/>
        <v>9.9416666666666664</v>
      </c>
    </row>
    <row r="9" spans="1:8" ht="27" customHeight="1" x14ac:dyDescent="0.2">
      <c r="A9" s="16" t="s">
        <v>19</v>
      </c>
      <c r="B9" s="14">
        <v>179.4</v>
      </c>
      <c r="C9" s="18">
        <v>179.8</v>
      </c>
      <c r="D9" s="7"/>
      <c r="E9" s="5">
        <f t="shared" si="1"/>
        <v>359.20000000000005</v>
      </c>
      <c r="F9" s="19">
        <f t="shared" si="3"/>
        <v>179.60000000000002</v>
      </c>
      <c r="G9" s="19">
        <f t="shared" si="2"/>
        <v>29.933333333333337</v>
      </c>
      <c r="H9" s="19">
        <f t="shared" si="0"/>
        <v>9.9777777777777796</v>
      </c>
    </row>
    <row r="10" spans="1:8" ht="27" customHeight="1" x14ac:dyDescent="0.2">
      <c r="A10" s="16" t="s">
        <v>20</v>
      </c>
      <c r="B10" s="14">
        <v>175</v>
      </c>
      <c r="C10" s="18">
        <v>168.2</v>
      </c>
      <c r="D10" s="7"/>
      <c r="E10" s="5">
        <f t="shared" si="1"/>
        <v>343.2</v>
      </c>
      <c r="F10" s="19">
        <f t="shared" si="3"/>
        <v>171.6</v>
      </c>
      <c r="G10" s="19">
        <f t="shared" si="2"/>
        <v>28.599999999999998</v>
      </c>
      <c r="H10" s="19">
        <f t="shared" si="0"/>
        <v>9.5333333333333332</v>
      </c>
    </row>
    <row r="11" spans="1:8" ht="27" customHeight="1" x14ac:dyDescent="0.2">
      <c r="A11" s="16" t="s">
        <v>21</v>
      </c>
      <c r="B11" s="14">
        <v>177.7</v>
      </c>
      <c r="C11" s="18">
        <v>179.9</v>
      </c>
      <c r="D11" s="7"/>
      <c r="E11" s="5">
        <f t="shared" si="1"/>
        <v>357.6</v>
      </c>
      <c r="F11" s="19">
        <f t="shared" si="3"/>
        <v>178.8</v>
      </c>
      <c r="G11" s="19">
        <f t="shared" si="2"/>
        <v>29.8</v>
      </c>
      <c r="H11" s="19">
        <f t="shared" si="0"/>
        <v>9.9333333333333336</v>
      </c>
    </row>
    <row r="12" spans="1:8" ht="18.75" x14ac:dyDescent="0.2">
      <c r="A12" s="16" t="s">
        <v>22</v>
      </c>
      <c r="B12" s="14">
        <v>179.6</v>
      </c>
      <c r="C12" s="18">
        <v>179.9</v>
      </c>
      <c r="E12" s="5">
        <f t="shared" si="1"/>
        <v>359.5</v>
      </c>
      <c r="F12" s="19">
        <f t="shared" si="3"/>
        <v>179.75</v>
      </c>
      <c r="G12" s="19">
        <f t="shared" si="2"/>
        <v>29.958333333333332</v>
      </c>
      <c r="H12" s="19">
        <f t="shared" si="0"/>
        <v>9.9861111111111107</v>
      </c>
    </row>
    <row r="13" spans="1:8" ht="12.75" customHeight="1" x14ac:dyDescent="0.2"/>
    <row r="14" spans="1:8" ht="12.75" customHeight="1" x14ac:dyDescent="0.2"/>
  </sheetData>
  <sortState xmlns:xlrd2="http://schemas.microsoft.com/office/spreadsheetml/2017/richdata2" ref="M4:T14">
    <sortCondition ref="M4:M1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352C-DD0F-4759-952B-15AC060EF592}">
  <dimension ref="A1:H20"/>
  <sheetViews>
    <sheetView workbookViewId="0">
      <selection activeCell="G2" sqref="G2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2">
        <v>29.2</v>
      </c>
      <c r="C2" s="17">
        <v>29.6</v>
      </c>
      <c r="D2" s="10"/>
      <c r="E2" s="11">
        <f>SUM(B2:D2)</f>
        <v>58.8</v>
      </c>
      <c r="F2">
        <f>E2/2</f>
        <v>29.4</v>
      </c>
      <c r="G2">
        <f t="shared" ref="G2:G12" si="0">F2/3</f>
        <v>9.7999999999999989</v>
      </c>
    </row>
    <row r="3" spans="1:7" x14ac:dyDescent="0.2">
      <c r="A3" s="16" t="s">
        <v>13</v>
      </c>
      <c r="B3" s="12">
        <v>0</v>
      </c>
      <c r="C3" s="17">
        <v>29.8</v>
      </c>
      <c r="D3" s="10"/>
      <c r="E3" s="11">
        <f t="shared" ref="E3:E12" si="1">SUM(B3:D3)</f>
        <v>29.8</v>
      </c>
      <c r="F3">
        <f>E3/1</f>
        <v>29.8</v>
      </c>
      <c r="G3">
        <f t="shared" si="0"/>
        <v>9.9333333333333336</v>
      </c>
    </row>
    <row r="4" spans="1:7" x14ac:dyDescent="0.2">
      <c r="A4" s="13" t="s">
        <v>14</v>
      </c>
      <c r="B4" s="12">
        <v>29.5</v>
      </c>
      <c r="C4" s="17">
        <v>29.9</v>
      </c>
      <c r="D4" s="10"/>
      <c r="E4" s="11">
        <f t="shared" si="1"/>
        <v>59.4</v>
      </c>
      <c r="F4">
        <f t="shared" ref="F3:F12" si="2">E4/2</f>
        <v>29.7</v>
      </c>
      <c r="G4">
        <f t="shared" si="0"/>
        <v>9.9</v>
      </c>
    </row>
    <row r="5" spans="1:7" x14ac:dyDescent="0.2">
      <c r="A5" s="16" t="s">
        <v>15</v>
      </c>
      <c r="B5" s="12">
        <v>29.2</v>
      </c>
      <c r="C5" s="17">
        <v>29.7</v>
      </c>
      <c r="D5" s="10"/>
      <c r="E5" s="11">
        <f t="shared" si="1"/>
        <v>58.9</v>
      </c>
      <c r="F5">
        <f t="shared" si="2"/>
        <v>29.45</v>
      </c>
      <c r="G5">
        <f t="shared" si="0"/>
        <v>9.8166666666666664</v>
      </c>
    </row>
    <row r="6" spans="1:7" x14ac:dyDescent="0.2">
      <c r="A6" s="16" t="s">
        <v>16</v>
      </c>
      <c r="B6" s="12">
        <v>28.4</v>
      </c>
      <c r="C6" s="17">
        <v>29.2</v>
      </c>
      <c r="D6" s="10"/>
      <c r="E6" s="11">
        <f t="shared" si="1"/>
        <v>57.599999999999994</v>
      </c>
      <c r="F6">
        <f t="shared" si="2"/>
        <v>28.799999999999997</v>
      </c>
      <c r="G6">
        <f t="shared" si="0"/>
        <v>9.6</v>
      </c>
    </row>
    <row r="7" spans="1:7" x14ac:dyDescent="0.2">
      <c r="A7" s="16" t="s">
        <v>17</v>
      </c>
      <c r="B7" s="12">
        <v>29.5</v>
      </c>
      <c r="C7" s="17">
        <v>29.7</v>
      </c>
      <c r="D7" s="10"/>
      <c r="E7" s="11">
        <f t="shared" si="1"/>
        <v>59.2</v>
      </c>
      <c r="F7">
        <f t="shared" si="2"/>
        <v>29.6</v>
      </c>
      <c r="G7">
        <f t="shared" si="0"/>
        <v>9.8666666666666671</v>
      </c>
    </row>
    <row r="8" spans="1:7" x14ac:dyDescent="0.2">
      <c r="A8" s="16" t="s">
        <v>18</v>
      </c>
      <c r="B8" s="12">
        <v>29.4</v>
      </c>
      <c r="C8" s="17">
        <v>30</v>
      </c>
      <c r="D8" s="10"/>
      <c r="E8" s="11">
        <f t="shared" si="1"/>
        <v>59.4</v>
      </c>
      <c r="F8">
        <f t="shared" si="2"/>
        <v>29.7</v>
      </c>
      <c r="G8">
        <f t="shared" si="0"/>
        <v>9.9</v>
      </c>
    </row>
    <row r="9" spans="1:7" x14ac:dyDescent="0.2">
      <c r="A9" s="16" t="s">
        <v>19</v>
      </c>
      <c r="B9" s="12">
        <v>29.9</v>
      </c>
      <c r="C9" s="17">
        <v>29.9</v>
      </c>
      <c r="D9" s="10"/>
      <c r="E9" s="11">
        <f t="shared" si="1"/>
        <v>59.8</v>
      </c>
      <c r="F9">
        <f t="shared" si="2"/>
        <v>29.9</v>
      </c>
      <c r="G9">
        <f t="shared" si="0"/>
        <v>9.9666666666666668</v>
      </c>
    </row>
    <row r="10" spans="1:7" x14ac:dyDescent="0.2">
      <c r="A10" s="16" t="s">
        <v>20</v>
      </c>
      <c r="B10" s="12">
        <v>28.8</v>
      </c>
      <c r="C10" s="17">
        <v>29.4</v>
      </c>
      <c r="D10" s="10"/>
      <c r="E10" s="11">
        <f t="shared" si="1"/>
        <v>58.2</v>
      </c>
      <c r="F10">
        <f t="shared" si="2"/>
        <v>29.1</v>
      </c>
      <c r="G10">
        <f t="shared" si="0"/>
        <v>9.7000000000000011</v>
      </c>
    </row>
    <row r="11" spans="1:7" x14ac:dyDescent="0.2">
      <c r="A11" s="16" t="s">
        <v>21</v>
      </c>
      <c r="B11" s="12">
        <v>29.4</v>
      </c>
      <c r="C11" s="17">
        <v>30</v>
      </c>
      <c r="D11" s="10"/>
      <c r="E11" s="11">
        <f t="shared" si="1"/>
        <v>59.4</v>
      </c>
      <c r="F11">
        <f t="shared" si="2"/>
        <v>29.7</v>
      </c>
      <c r="G11">
        <f t="shared" si="0"/>
        <v>9.9</v>
      </c>
    </row>
    <row r="12" spans="1:7" x14ac:dyDescent="0.2">
      <c r="A12" s="16" t="s">
        <v>22</v>
      </c>
      <c r="B12" s="12">
        <v>29.9</v>
      </c>
      <c r="C12" s="17">
        <v>29.9</v>
      </c>
      <c r="E12" s="11">
        <f t="shared" si="1"/>
        <v>59.8</v>
      </c>
      <c r="F12">
        <f t="shared" si="2"/>
        <v>29.9</v>
      </c>
      <c r="G12">
        <f t="shared" si="0"/>
        <v>9.9666666666666668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5A1B-79A1-4943-8014-F4C16CEE14A3}">
  <dimension ref="A1:H20"/>
  <sheetViews>
    <sheetView workbookViewId="0">
      <selection activeCell="E2" sqref="E2:G12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4">
        <v>29.3</v>
      </c>
      <c r="C2" s="12">
        <v>29.9</v>
      </c>
      <c r="D2" s="10"/>
      <c r="E2" s="11">
        <f>SUM(B2:D2)</f>
        <v>59.2</v>
      </c>
      <c r="F2">
        <f>E2/2</f>
        <v>29.6</v>
      </c>
      <c r="G2">
        <f t="shared" ref="G2:G12" si="0">F2/3</f>
        <v>9.8666666666666671</v>
      </c>
    </row>
    <row r="3" spans="1:7" x14ac:dyDescent="0.2">
      <c r="A3" s="16" t="s">
        <v>13</v>
      </c>
      <c r="B3" s="14">
        <v>0</v>
      </c>
      <c r="C3" s="12">
        <v>29.8</v>
      </c>
      <c r="D3" s="10"/>
      <c r="E3" s="11">
        <f t="shared" ref="E3:E12" si="1">SUM(B3:D3)</f>
        <v>29.8</v>
      </c>
      <c r="F3">
        <f>E3/1</f>
        <v>29.8</v>
      </c>
      <c r="G3">
        <f t="shared" si="0"/>
        <v>9.9333333333333336</v>
      </c>
    </row>
    <row r="4" spans="1:7" x14ac:dyDescent="0.2">
      <c r="A4" s="13" t="s">
        <v>14</v>
      </c>
      <c r="B4" s="14">
        <v>29.7</v>
      </c>
      <c r="C4" s="12">
        <v>30</v>
      </c>
      <c r="D4" s="10"/>
      <c r="E4" s="11">
        <f t="shared" si="1"/>
        <v>59.7</v>
      </c>
      <c r="F4">
        <f t="shared" ref="F4:F12" si="2">E4/2</f>
        <v>29.85</v>
      </c>
      <c r="G4">
        <f t="shared" si="0"/>
        <v>9.9500000000000011</v>
      </c>
    </row>
    <row r="5" spans="1:7" x14ac:dyDescent="0.2">
      <c r="A5" s="16" t="s">
        <v>15</v>
      </c>
      <c r="B5" s="14">
        <v>30</v>
      </c>
      <c r="C5" s="12">
        <v>30</v>
      </c>
      <c r="D5" s="10"/>
      <c r="E5" s="11">
        <f t="shared" si="1"/>
        <v>60</v>
      </c>
      <c r="F5">
        <f t="shared" si="2"/>
        <v>30</v>
      </c>
      <c r="G5">
        <f t="shared" si="0"/>
        <v>10</v>
      </c>
    </row>
    <row r="6" spans="1:7" x14ac:dyDescent="0.2">
      <c r="A6" s="16" t="s">
        <v>16</v>
      </c>
      <c r="B6" s="14">
        <v>29</v>
      </c>
      <c r="C6" s="12">
        <v>29.3</v>
      </c>
      <c r="D6" s="10"/>
      <c r="E6" s="11">
        <f t="shared" si="1"/>
        <v>58.3</v>
      </c>
      <c r="F6">
        <f t="shared" si="2"/>
        <v>29.15</v>
      </c>
      <c r="G6">
        <f t="shared" si="0"/>
        <v>9.7166666666666668</v>
      </c>
    </row>
    <row r="7" spans="1:7" x14ac:dyDescent="0.2">
      <c r="A7" s="16" t="s">
        <v>17</v>
      </c>
      <c r="B7" s="14">
        <v>29.7</v>
      </c>
      <c r="C7" s="12">
        <v>30</v>
      </c>
      <c r="D7" s="10"/>
      <c r="E7" s="11">
        <f t="shared" si="1"/>
        <v>59.7</v>
      </c>
      <c r="F7">
        <f t="shared" si="2"/>
        <v>29.85</v>
      </c>
      <c r="G7">
        <f t="shared" si="0"/>
        <v>9.9500000000000011</v>
      </c>
    </row>
    <row r="8" spans="1:7" x14ac:dyDescent="0.2">
      <c r="A8" s="16" t="s">
        <v>18</v>
      </c>
      <c r="B8" s="14">
        <v>29.8</v>
      </c>
      <c r="C8" s="12">
        <v>29.7</v>
      </c>
      <c r="D8" s="10"/>
      <c r="E8" s="11">
        <f t="shared" si="1"/>
        <v>59.5</v>
      </c>
      <c r="F8">
        <f t="shared" si="2"/>
        <v>29.75</v>
      </c>
      <c r="G8">
        <f t="shared" si="0"/>
        <v>9.9166666666666661</v>
      </c>
    </row>
    <row r="9" spans="1:7" x14ac:dyDescent="0.2">
      <c r="A9" s="16" t="s">
        <v>19</v>
      </c>
      <c r="B9" s="14">
        <v>30</v>
      </c>
      <c r="C9" s="12">
        <v>29.9</v>
      </c>
      <c r="D9" s="10"/>
      <c r="E9" s="11">
        <f t="shared" si="1"/>
        <v>59.9</v>
      </c>
      <c r="F9">
        <f t="shared" si="2"/>
        <v>29.95</v>
      </c>
      <c r="G9">
        <f t="shared" si="0"/>
        <v>9.9833333333333325</v>
      </c>
    </row>
    <row r="10" spans="1:7" x14ac:dyDescent="0.2">
      <c r="A10" s="16" t="s">
        <v>20</v>
      </c>
      <c r="B10" s="14">
        <v>28.9</v>
      </c>
      <c r="C10" s="12">
        <v>29.7</v>
      </c>
      <c r="D10" s="10"/>
      <c r="E10" s="11">
        <f t="shared" si="1"/>
        <v>58.599999999999994</v>
      </c>
      <c r="F10">
        <f t="shared" si="2"/>
        <v>29.299999999999997</v>
      </c>
      <c r="G10">
        <f t="shared" si="0"/>
        <v>9.7666666666666657</v>
      </c>
    </row>
    <row r="11" spans="1:7" x14ac:dyDescent="0.2">
      <c r="A11" s="16" t="s">
        <v>21</v>
      </c>
      <c r="B11" s="14">
        <v>29.6</v>
      </c>
      <c r="C11" s="12">
        <v>29.9</v>
      </c>
      <c r="D11" s="10"/>
      <c r="E11" s="11">
        <f t="shared" si="1"/>
        <v>59.5</v>
      </c>
      <c r="F11">
        <f t="shared" si="2"/>
        <v>29.75</v>
      </c>
      <c r="G11">
        <f t="shared" si="0"/>
        <v>9.9166666666666661</v>
      </c>
    </row>
    <row r="12" spans="1:7" x14ac:dyDescent="0.2">
      <c r="A12" s="16" t="s">
        <v>22</v>
      </c>
      <c r="B12" s="14">
        <v>30</v>
      </c>
      <c r="C12" s="12">
        <v>30</v>
      </c>
      <c r="E12" s="11">
        <f t="shared" si="1"/>
        <v>60</v>
      </c>
      <c r="F12">
        <f t="shared" si="2"/>
        <v>30</v>
      </c>
      <c r="G12">
        <f t="shared" si="0"/>
        <v>10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0D3F-B0FA-4F68-B1A8-490746D57296}">
  <dimension ref="A1:H20"/>
  <sheetViews>
    <sheetView workbookViewId="0">
      <selection activeCell="E2" sqref="E2:G12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2">
        <v>29.4</v>
      </c>
      <c r="C2" s="12">
        <v>30</v>
      </c>
      <c r="D2" s="10"/>
      <c r="E2" s="11">
        <f>SUM(B2:D2)</f>
        <v>59.4</v>
      </c>
      <c r="F2">
        <f>E2/2</f>
        <v>29.7</v>
      </c>
      <c r="G2">
        <f t="shared" ref="G2:G12" si="0">F2/3</f>
        <v>9.9</v>
      </c>
    </row>
    <row r="3" spans="1:7" x14ac:dyDescent="0.2">
      <c r="A3" s="16" t="s">
        <v>13</v>
      </c>
      <c r="B3" s="12">
        <v>0</v>
      </c>
      <c r="C3" s="12">
        <v>29.9</v>
      </c>
      <c r="D3" s="10"/>
      <c r="E3" s="11">
        <f t="shared" ref="E3:E12" si="1">SUM(B3:D3)</f>
        <v>29.9</v>
      </c>
      <c r="F3">
        <f>E3/1</f>
        <v>29.9</v>
      </c>
      <c r="G3">
        <f t="shared" si="0"/>
        <v>9.9666666666666668</v>
      </c>
    </row>
    <row r="4" spans="1:7" x14ac:dyDescent="0.2">
      <c r="A4" s="13" t="s">
        <v>14</v>
      </c>
      <c r="B4" s="12">
        <v>29.5</v>
      </c>
      <c r="C4" s="12">
        <v>30</v>
      </c>
      <c r="D4" s="10"/>
      <c r="E4" s="11">
        <f t="shared" si="1"/>
        <v>59.5</v>
      </c>
      <c r="F4">
        <f t="shared" ref="F4:F12" si="2">E4/2</f>
        <v>29.75</v>
      </c>
      <c r="G4">
        <f t="shared" si="0"/>
        <v>9.9166666666666661</v>
      </c>
    </row>
    <row r="5" spans="1:7" x14ac:dyDescent="0.2">
      <c r="A5" s="16" t="s">
        <v>15</v>
      </c>
      <c r="B5" s="12">
        <v>29.6</v>
      </c>
      <c r="C5" s="12">
        <v>30</v>
      </c>
      <c r="D5" s="10"/>
      <c r="E5" s="11">
        <f t="shared" si="1"/>
        <v>59.6</v>
      </c>
      <c r="F5">
        <f t="shared" si="2"/>
        <v>29.8</v>
      </c>
      <c r="G5">
        <f t="shared" si="0"/>
        <v>9.9333333333333336</v>
      </c>
    </row>
    <row r="6" spans="1:7" x14ac:dyDescent="0.2">
      <c r="A6" s="16" t="s">
        <v>16</v>
      </c>
      <c r="B6" s="12">
        <v>28.5</v>
      </c>
      <c r="C6" s="12">
        <v>29.5</v>
      </c>
      <c r="D6" s="10"/>
      <c r="E6" s="11">
        <f t="shared" si="1"/>
        <v>58</v>
      </c>
      <c r="F6">
        <f t="shared" si="2"/>
        <v>29</v>
      </c>
      <c r="G6">
        <f t="shared" si="0"/>
        <v>9.6666666666666661</v>
      </c>
    </row>
    <row r="7" spans="1:7" x14ac:dyDescent="0.2">
      <c r="A7" s="16" t="s">
        <v>17</v>
      </c>
      <c r="B7" s="12">
        <v>29.6</v>
      </c>
      <c r="C7" s="12">
        <v>30</v>
      </c>
      <c r="D7" s="10"/>
      <c r="E7" s="11">
        <f t="shared" si="1"/>
        <v>59.6</v>
      </c>
      <c r="F7">
        <f t="shared" si="2"/>
        <v>29.8</v>
      </c>
      <c r="G7">
        <f t="shared" si="0"/>
        <v>9.9333333333333336</v>
      </c>
    </row>
    <row r="8" spans="1:7" x14ac:dyDescent="0.2">
      <c r="A8" s="16" t="s">
        <v>18</v>
      </c>
      <c r="B8" s="12">
        <v>29.6</v>
      </c>
      <c r="C8" s="12">
        <v>30</v>
      </c>
      <c r="D8" s="10"/>
      <c r="E8" s="11">
        <f t="shared" si="1"/>
        <v>59.6</v>
      </c>
      <c r="F8">
        <f t="shared" si="2"/>
        <v>29.8</v>
      </c>
      <c r="G8">
        <f t="shared" si="0"/>
        <v>9.9333333333333336</v>
      </c>
    </row>
    <row r="9" spans="1:7" x14ac:dyDescent="0.2">
      <c r="A9" s="16" t="s">
        <v>19</v>
      </c>
      <c r="B9" s="12">
        <v>30</v>
      </c>
      <c r="C9" s="12">
        <v>30</v>
      </c>
      <c r="D9" s="10"/>
      <c r="E9" s="11">
        <f t="shared" si="1"/>
        <v>60</v>
      </c>
      <c r="F9">
        <f t="shared" si="2"/>
        <v>30</v>
      </c>
      <c r="G9">
        <f t="shared" si="0"/>
        <v>10</v>
      </c>
    </row>
    <row r="10" spans="1:7" x14ac:dyDescent="0.2">
      <c r="A10" s="16" t="s">
        <v>20</v>
      </c>
      <c r="B10" s="12">
        <v>29</v>
      </c>
      <c r="C10" s="12">
        <v>29.6</v>
      </c>
      <c r="D10" s="10"/>
      <c r="E10" s="11">
        <f t="shared" si="1"/>
        <v>58.6</v>
      </c>
      <c r="F10">
        <f t="shared" si="2"/>
        <v>29.3</v>
      </c>
      <c r="G10">
        <f t="shared" si="0"/>
        <v>9.7666666666666675</v>
      </c>
    </row>
    <row r="11" spans="1:7" x14ac:dyDescent="0.2">
      <c r="A11" s="16" t="s">
        <v>21</v>
      </c>
      <c r="B11" s="12">
        <v>29.6</v>
      </c>
      <c r="C11" s="12">
        <v>30</v>
      </c>
      <c r="D11" s="10"/>
      <c r="E11" s="11">
        <f t="shared" si="1"/>
        <v>59.6</v>
      </c>
      <c r="F11">
        <f t="shared" si="2"/>
        <v>29.8</v>
      </c>
      <c r="G11">
        <f t="shared" si="0"/>
        <v>9.9333333333333336</v>
      </c>
    </row>
    <row r="12" spans="1:7" x14ac:dyDescent="0.2">
      <c r="A12" s="16" t="s">
        <v>22</v>
      </c>
      <c r="B12" s="12">
        <v>30</v>
      </c>
      <c r="C12" s="12">
        <v>30</v>
      </c>
      <c r="E12" s="11">
        <f t="shared" si="1"/>
        <v>60</v>
      </c>
      <c r="F12">
        <f t="shared" si="2"/>
        <v>30</v>
      </c>
      <c r="G12">
        <f t="shared" si="0"/>
        <v>10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0F86-ACC3-47BF-A9F6-93904C2D9367}">
  <dimension ref="A1:H20"/>
  <sheetViews>
    <sheetView workbookViewId="0">
      <selection activeCell="C2" sqref="C2:C12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2">
        <v>29.6</v>
      </c>
      <c r="C2" s="17">
        <v>30</v>
      </c>
      <c r="D2" s="10"/>
      <c r="E2" s="11">
        <f>SUM(B2:D2)</f>
        <v>59.6</v>
      </c>
      <c r="F2">
        <f>E2/2</f>
        <v>29.8</v>
      </c>
      <c r="G2">
        <f t="shared" ref="G2:G12" si="0">F2/3</f>
        <v>9.9333333333333336</v>
      </c>
    </row>
    <row r="3" spans="1:7" x14ac:dyDescent="0.2">
      <c r="A3" s="16" t="s">
        <v>13</v>
      </c>
      <c r="B3" s="12">
        <v>0</v>
      </c>
      <c r="C3" s="17">
        <v>30</v>
      </c>
      <c r="D3" s="10"/>
      <c r="E3" s="11">
        <f t="shared" ref="E3:E12" si="1">SUM(B3:D3)</f>
        <v>30</v>
      </c>
      <c r="F3">
        <f>E3/1</f>
        <v>30</v>
      </c>
      <c r="G3">
        <f t="shared" si="0"/>
        <v>10</v>
      </c>
    </row>
    <row r="4" spans="1:7" x14ac:dyDescent="0.2">
      <c r="A4" s="13" t="s">
        <v>14</v>
      </c>
      <c r="B4" s="12">
        <v>30</v>
      </c>
      <c r="C4" s="17">
        <v>30</v>
      </c>
      <c r="D4" s="10"/>
      <c r="E4" s="11">
        <f t="shared" si="1"/>
        <v>60</v>
      </c>
      <c r="F4">
        <f t="shared" ref="F4:F12" si="2">E4/2</f>
        <v>30</v>
      </c>
      <c r="G4">
        <f t="shared" si="0"/>
        <v>10</v>
      </c>
    </row>
    <row r="5" spans="1:7" x14ac:dyDescent="0.2">
      <c r="A5" s="16" t="s">
        <v>15</v>
      </c>
      <c r="B5" s="12">
        <v>29.7</v>
      </c>
      <c r="C5" s="17">
        <v>30</v>
      </c>
      <c r="D5" s="10"/>
      <c r="E5" s="11">
        <f t="shared" si="1"/>
        <v>59.7</v>
      </c>
      <c r="F5">
        <f t="shared" si="2"/>
        <v>29.85</v>
      </c>
      <c r="G5">
        <f t="shared" si="0"/>
        <v>9.9500000000000011</v>
      </c>
    </row>
    <row r="6" spans="1:7" x14ac:dyDescent="0.2">
      <c r="A6" s="16" t="s">
        <v>16</v>
      </c>
      <c r="B6" s="12">
        <v>29.1</v>
      </c>
      <c r="C6" s="17">
        <v>29.9</v>
      </c>
      <c r="D6" s="10"/>
      <c r="E6" s="11">
        <f t="shared" si="1"/>
        <v>59</v>
      </c>
      <c r="F6">
        <f t="shared" si="2"/>
        <v>29.5</v>
      </c>
      <c r="G6">
        <f t="shared" si="0"/>
        <v>9.8333333333333339</v>
      </c>
    </row>
    <row r="7" spans="1:7" x14ac:dyDescent="0.2">
      <c r="A7" s="16" t="s">
        <v>17</v>
      </c>
      <c r="B7" s="12">
        <v>29.6</v>
      </c>
      <c r="C7" s="17">
        <v>30</v>
      </c>
      <c r="D7" s="10"/>
      <c r="E7" s="11">
        <f t="shared" si="1"/>
        <v>59.6</v>
      </c>
      <c r="F7">
        <f t="shared" si="2"/>
        <v>29.8</v>
      </c>
      <c r="G7">
        <f t="shared" si="0"/>
        <v>9.9333333333333336</v>
      </c>
    </row>
    <row r="8" spans="1:7" x14ac:dyDescent="0.2">
      <c r="A8" s="16" t="s">
        <v>18</v>
      </c>
      <c r="B8" s="12">
        <v>29.6</v>
      </c>
      <c r="C8" s="17">
        <v>30</v>
      </c>
      <c r="D8" s="10"/>
      <c r="E8" s="11">
        <f t="shared" si="1"/>
        <v>59.6</v>
      </c>
      <c r="F8">
        <f t="shared" si="2"/>
        <v>29.8</v>
      </c>
      <c r="G8">
        <f t="shared" si="0"/>
        <v>9.9333333333333336</v>
      </c>
    </row>
    <row r="9" spans="1:7" x14ac:dyDescent="0.2">
      <c r="A9" s="16" t="s">
        <v>19</v>
      </c>
      <c r="B9" s="12">
        <v>30</v>
      </c>
      <c r="C9" s="17">
        <v>30</v>
      </c>
      <c r="D9" s="10"/>
      <c r="E9" s="11">
        <f t="shared" si="1"/>
        <v>60</v>
      </c>
      <c r="F9">
        <f t="shared" si="2"/>
        <v>30</v>
      </c>
      <c r="G9">
        <f t="shared" si="0"/>
        <v>10</v>
      </c>
    </row>
    <row r="10" spans="1:7" x14ac:dyDescent="0.2">
      <c r="A10" s="16" t="s">
        <v>20</v>
      </c>
      <c r="B10" s="12">
        <v>29.6</v>
      </c>
      <c r="C10" s="17">
        <v>29.8</v>
      </c>
      <c r="D10" s="10"/>
      <c r="E10" s="11">
        <f t="shared" si="1"/>
        <v>59.400000000000006</v>
      </c>
      <c r="F10">
        <f t="shared" si="2"/>
        <v>29.700000000000003</v>
      </c>
      <c r="G10">
        <f t="shared" si="0"/>
        <v>9.9</v>
      </c>
    </row>
    <row r="11" spans="1:7" x14ac:dyDescent="0.2">
      <c r="A11" s="16" t="s">
        <v>21</v>
      </c>
      <c r="B11" s="12">
        <v>29.8</v>
      </c>
      <c r="C11" s="17">
        <v>30</v>
      </c>
      <c r="D11" s="10"/>
      <c r="E11" s="11">
        <f t="shared" si="1"/>
        <v>59.8</v>
      </c>
      <c r="F11">
        <f t="shared" si="2"/>
        <v>29.9</v>
      </c>
      <c r="G11">
        <f t="shared" si="0"/>
        <v>9.9666666666666668</v>
      </c>
    </row>
    <row r="12" spans="1:7" x14ac:dyDescent="0.2">
      <c r="A12" s="16" t="s">
        <v>22</v>
      </c>
      <c r="B12" s="12">
        <v>29.9</v>
      </c>
      <c r="C12" s="17">
        <v>30</v>
      </c>
      <c r="E12" s="11">
        <f t="shared" si="1"/>
        <v>59.9</v>
      </c>
      <c r="F12">
        <f t="shared" si="2"/>
        <v>29.95</v>
      </c>
      <c r="G12">
        <f t="shared" si="0"/>
        <v>9.9833333333333325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9C3F-1CD0-47E3-9363-D407E7B2DA51}">
  <dimension ref="A1:H20"/>
  <sheetViews>
    <sheetView workbookViewId="0">
      <selection activeCell="C2" sqref="C2:C12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2">
        <v>29.3</v>
      </c>
      <c r="C2" s="12">
        <v>30</v>
      </c>
      <c r="D2" s="10"/>
      <c r="E2" s="11">
        <f>SUM(B2:D2)</f>
        <v>59.3</v>
      </c>
      <c r="F2">
        <f>E2/2</f>
        <v>29.65</v>
      </c>
      <c r="G2">
        <f t="shared" ref="G2:G12" si="0">F2/3</f>
        <v>9.8833333333333329</v>
      </c>
    </row>
    <row r="3" spans="1:7" x14ac:dyDescent="0.2">
      <c r="A3" s="16" t="s">
        <v>13</v>
      </c>
      <c r="B3" s="12">
        <v>0</v>
      </c>
      <c r="C3" s="12">
        <v>30</v>
      </c>
      <c r="D3" s="10"/>
      <c r="E3" s="11">
        <f t="shared" ref="E3:E12" si="1">SUM(B3:D3)</f>
        <v>30</v>
      </c>
      <c r="F3">
        <f>E3/1</f>
        <v>30</v>
      </c>
      <c r="G3">
        <f t="shared" si="0"/>
        <v>10</v>
      </c>
    </row>
    <row r="4" spans="1:7" x14ac:dyDescent="0.2">
      <c r="A4" s="13" t="s">
        <v>14</v>
      </c>
      <c r="B4" s="12">
        <v>29.6</v>
      </c>
      <c r="C4" s="12">
        <v>29.9</v>
      </c>
      <c r="D4" s="10"/>
      <c r="E4" s="11">
        <f t="shared" si="1"/>
        <v>59.5</v>
      </c>
      <c r="F4">
        <f t="shared" ref="F4:F12" si="2">E4/2</f>
        <v>29.75</v>
      </c>
      <c r="G4">
        <f t="shared" si="0"/>
        <v>9.9166666666666661</v>
      </c>
    </row>
    <row r="5" spans="1:7" x14ac:dyDescent="0.2">
      <c r="A5" s="16" t="s">
        <v>15</v>
      </c>
      <c r="B5" s="12">
        <v>29.6</v>
      </c>
      <c r="C5" s="12">
        <v>29.8</v>
      </c>
      <c r="D5" s="10"/>
      <c r="E5" s="11">
        <f t="shared" si="1"/>
        <v>59.400000000000006</v>
      </c>
      <c r="F5">
        <f t="shared" si="2"/>
        <v>29.700000000000003</v>
      </c>
      <c r="G5">
        <f t="shared" si="0"/>
        <v>9.9</v>
      </c>
    </row>
    <row r="6" spans="1:7" x14ac:dyDescent="0.2">
      <c r="A6" s="16" t="s">
        <v>16</v>
      </c>
      <c r="B6" s="12">
        <v>28.8</v>
      </c>
      <c r="C6" s="12">
        <v>29.6</v>
      </c>
      <c r="D6" s="10"/>
      <c r="E6" s="11">
        <f t="shared" si="1"/>
        <v>58.400000000000006</v>
      </c>
      <c r="F6">
        <f t="shared" si="2"/>
        <v>29.200000000000003</v>
      </c>
      <c r="G6">
        <f t="shared" si="0"/>
        <v>9.7333333333333343</v>
      </c>
    </row>
    <row r="7" spans="1:7" x14ac:dyDescent="0.2">
      <c r="A7" s="16" t="s">
        <v>17</v>
      </c>
      <c r="B7" s="12">
        <v>29.3</v>
      </c>
      <c r="C7" s="12">
        <v>29.9</v>
      </c>
      <c r="D7" s="10"/>
      <c r="E7" s="11">
        <f t="shared" si="1"/>
        <v>59.2</v>
      </c>
      <c r="F7">
        <f t="shared" si="2"/>
        <v>29.6</v>
      </c>
      <c r="G7">
        <f t="shared" si="0"/>
        <v>9.8666666666666671</v>
      </c>
    </row>
    <row r="8" spans="1:7" x14ac:dyDescent="0.2">
      <c r="A8" s="16" t="s">
        <v>18</v>
      </c>
      <c r="B8" s="12">
        <v>29.8</v>
      </c>
      <c r="C8" s="12">
        <v>30</v>
      </c>
      <c r="D8" s="10"/>
      <c r="E8" s="11">
        <f t="shared" si="1"/>
        <v>59.8</v>
      </c>
      <c r="F8">
        <f t="shared" si="2"/>
        <v>29.9</v>
      </c>
      <c r="G8">
        <f t="shared" si="0"/>
        <v>9.9666666666666668</v>
      </c>
    </row>
    <row r="9" spans="1:7" x14ac:dyDescent="0.2">
      <c r="A9" s="16" t="s">
        <v>19</v>
      </c>
      <c r="B9" s="12">
        <v>30</v>
      </c>
      <c r="C9" s="12">
        <v>30</v>
      </c>
      <c r="D9" s="10"/>
      <c r="E9" s="11">
        <f t="shared" si="1"/>
        <v>60</v>
      </c>
      <c r="F9">
        <f t="shared" si="2"/>
        <v>30</v>
      </c>
      <c r="G9">
        <f t="shared" si="0"/>
        <v>10</v>
      </c>
    </row>
    <row r="10" spans="1:7" x14ac:dyDescent="0.2">
      <c r="A10" s="16" t="s">
        <v>20</v>
      </c>
      <c r="B10" s="12">
        <v>29</v>
      </c>
      <c r="C10" s="12">
        <v>29.7</v>
      </c>
      <c r="D10" s="10"/>
      <c r="E10" s="11">
        <f t="shared" si="1"/>
        <v>58.7</v>
      </c>
      <c r="F10">
        <f t="shared" si="2"/>
        <v>29.35</v>
      </c>
      <c r="G10">
        <f t="shared" si="0"/>
        <v>9.7833333333333332</v>
      </c>
    </row>
    <row r="11" spans="1:7" x14ac:dyDescent="0.2">
      <c r="A11" s="16" t="s">
        <v>21</v>
      </c>
      <c r="B11" s="12">
        <v>29.5</v>
      </c>
      <c r="C11" s="12">
        <v>30</v>
      </c>
      <c r="D11" s="10"/>
      <c r="E11" s="11">
        <f t="shared" si="1"/>
        <v>59.5</v>
      </c>
      <c r="F11">
        <f t="shared" si="2"/>
        <v>29.75</v>
      </c>
      <c r="G11">
        <f t="shared" si="0"/>
        <v>9.9166666666666661</v>
      </c>
    </row>
    <row r="12" spans="1:7" x14ac:dyDescent="0.2">
      <c r="A12" s="16" t="s">
        <v>22</v>
      </c>
      <c r="B12" s="12">
        <v>29.8</v>
      </c>
      <c r="C12" s="12">
        <v>30</v>
      </c>
      <c r="E12" s="11">
        <f t="shared" si="1"/>
        <v>59.8</v>
      </c>
      <c r="F12">
        <f t="shared" si="2"/>
        <v>29.9</v>
      </c>
      <c r="G12">
        <f t="shared" si="0"/>
        <v>9.9666666666666668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8CC4-3422-43F0-8813-7562712E2ABC}">
  <dimension ref="A1:H20"/>
  <sheetViews>
    <sheetView workbookViewId="0">
      <selection activeCell="C15" sqref="C15"/>
    </sheetView>
  </sheetViews>
  <sheetFormatPr defaultColWidth="34.83203125" defaultRowHeight="18.75" x14ac:dyDescent="0.2"/>
  <cols>
    <col min="1" max="1" width="39.1640625" style="8" bestFit="1" customWidth="1"/>
    <col min="2" max="2" width="14" style="8" bestFit="1" customWidth="1"/>
    <col min="3" max="3" width="22.6640625" style="8" bestFit="1" customWidth="1"/>
    <col min="4" max="4" width="14" style="8" bestFit="1" customWidth="1"/>
    <col min="5" max="5" width="11.83203125" style="8" bestFit="1" customWidth="1"/>
    <col min="6" max="6" width="18.33203125" style="8" bestFit="1" customWidth="1"/>
    <col min="7" max="7" width="20.5" style="8" bestFit="1" customWidth="1"/>
    <col min="8" max="16384" width="34.83203125" style="8"/>
  </cols>
  <sheetData>
    <row r="1" spans="1:7" x14ac:dyDescent="0.2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G1" s="8" t="s">
        <v>10</v>
      </c>
    </row>
    <row r="2" spans="1:7" x14ac:dyDescent="0.2">
      <c r="A2" s="16" t="s">
        <v>12</v>
      </c>
      <c r="B2" s="12">
        <v>29.5</v>
      </c>
      <c r="C2" s="12">
        <v>30</v>
      </c>
      <c r="D2" s="10"/>
      <c r="E2" s="11">
        <f>SUM(B2:D2)</f>
        <v>59.5</v>
      </c>
      <c r="F2">
        <f>E2/2</f>
        <v>29.75</v>
      </c>
      <c r="G2">
        <f t="shared" ref="G2:G12" si="0">F2/3</f>
        <v>9.9166666666666661</v>
      </c>
    </row>
    <row r="3" spans="1:7" x14ac:dyDescent="0.2">
      <c r="A3" s="16" t="s">
        <v>13</v>
      </c>
      <c r="B3" s="12">
        <v>0</v>
      </c>
      <c r="C3" s="12">
        <v>30</v>
      </c>
      <c r="D3" s="10"/>
      <c r="E3" s="11">
        <f t="shared" ref="E3:E12" si="1">SUM(B3:D3)</f>
        <v>30</v>
      </c>
      <c r="F3">
        <f>E3/1</f>
        <v>30</v>
      </c>
      <c r="G3">
        <f t="shared" si="0"/>
        <v>10</v>
      </c>
    </row>
    <row r="4" spans="1:7" x14ac:dyDescent="0.2">
      <c r="A4" s="13" t="s">
        <v>14</v>
      </c>
      <c r="B4" s="12">
        <v>29.9</v>
      </c>
      <c r="C4" s="12">
        <v>30</v>
      </c>
      <c r="D4" s="10"/>
      <c r="E4" s="11">
        <f t="shared" si="1"/>
        <v>59.9</v>
      </c>
      <c r="F4">
        <f t="shared" ref="F4:F12" si="2">E4/2</f>
        <v>29.95</v>
      </c>
      <c r="G4">
        <f t="shared" si="0"/>
        <v>9.9833333333333325</v>
      </c>
    </row>
    <row r="5" spans="1:7" x14ac:dyDescent="0.2">
      <c r="A5" s="16" t="s">
        <v>15</v>
      </c>
      <c r="B5" s="12">
        <v>30</v>
      </c>
      <c r="C5" s="12">
        <v>30</v>
      </c>
      <c r="D5" s="10"/>
      <c r="E5" s="11">
        <f t="shared" si="1"/>
        <v>60</v>
      </c>
      <c r="F5">
        <f t="shared" si="2"/>
        <v>30</v>
      </c>
      <c r="G5">
        <f t="shared" si="0"/>
        <v>10</v>
      </c>
    </row>
    <row r="6" spans="1:7" x14ac:dyDescent="0.2">
      <c r="A6" s="16" t="s">
        <v>16</v>
      </c>
      <c r="B6" s="12">
        <v>29.6</v>
      </c>
      <c r="C6" s="12">
        <v>30</v>
      </c>
      <c r="D6" s="10"/>
      <c r="E6" s="11">
        <f t="shared" si="1"/>
        <v>59.6</v>
      </c>
      <c r="F6">
        <f t="shared" si="2"/>
        <v>29.8</v>
      </c>
      <c r="G6">
        <f t="shared" si="0"/>
        <v>9.9333333333333336</v>
      </c>
    </row>
    <row r="7" spans="1:7" x14ac:dyDescent="0.2">
      <c r="A7" s="16" t="s">
        <v>17</v>
      </c>
      <c r="B7" s="12">
        <v>30</v>
      </c>
      <c r="C7" s="12">
        <v>30</v>
      </c>
      <c r="D7" s="10"/>
      <c r="E7" s="11">
        <f t="shared" si="1"/>
        <v>60</v>
      </c>
      <c r="F7">
        <f t="shared" si="2"/>
        <v>30</v>
      </c>
      <c r="G7">
        <f t="shared" si="0"/>
        <v>10</v>
      </c>
    </row>
    <row r="8" spans="1:7" x14ac:dyDescent="0.2">
      <c r="A8" s="16" t="s">
        <v>18</v>
      </c>
      <c r="B8" s="12">
        <v>30</v>
      </c>
      <c r="C8" s="12">
        <v>30</v>
      </c>
      <c r="D8" s="10"/>
      <c r="E8" s="11">
        <f t="shared" si="1"/>
        <v>60</v>
      </c>
      <c r="F8">
        <f t="shared" si="2"/>
        <v>30</v>
      </c>
      <c r="G8">
        <f t="shared" si="0"/>
        <v>10</v>
      </c>
    </row>
    <row r="9" spans="1:7" x14ac:dyDescent="0.2">
      <c r="A9" s="16" t="s">
        <v>19</v>
      </c>
      <c r="B9" s="12">
        <v>30</v>
      </c>
      <c r="C9" s="12">
        <v>30</v>
      </c>
      <c r="D9" s="10"/>
      <c r="E9" s="11">
        <f t="shared" si="1"/>
        <v>60</v>
      </c>
      <c r="F9">
        <f t="shared" si="2"/>
        <v>30</v>
      </c>
      <c r="G9">
        <f t="shared" si="0"/>
        <v>10</v>
      </c>
    </row>
    <row r="10" spans="1:7" x14ac:dyDescent="0.2">
      <c r="A10" s="16" t="s">
        <v>20</v>
      </c>
      <c r="B10" s="12">
        <v>29.7</v>
      </c>
      <c r="C10" s="12">
        <v>30</v>
      </c>
      <c r="D10" s="10"/>
      <c r="E10" s="11">
        <f t="shared" si="1"/>
        <v>59.7</v>
      </c>
      <c r="F10">
        <f t="shared" si="2"/>
        <v>29.85</v>
      </c>
      <c r="G10">
        <f t="shared" si="0"/>
        <v>9.9500000000000011</v>
      </c>
    </row>
    <row r="11" spans="1:7" x14ac:dyDescent="0.2">
      <c r="A11" s="16" t="s">
        <v>21</v>
      </c>
      <c r="B11" s="12">
        <v>29.8</v>
      </c>
      <c r="C11" s="12">
        <v>30</v>
      </c>
      <c r="D11" s="10"/>
      <c r="E11" s="11">
        <f t="shared" si="1"/>
        <v>59.8</v>
      </c>
      <c r="F11">
        <f t="shared" si="2"/>
        <v>29.9</v>
      </c>
      <c r="G11">
        <f t="shared" si="0"/>
        <v>9.9666666666666668</v>
      </c>
    </row>
    <row r="12" spans="1:7" x14ac:dyDescent="0.2">
      <c r="A12" s="16" t="s">
        <v>22</v>
      </c>
      <c r="B12" s="12">
        <v>30</v>
      </c>
      <c r="C12" s="12">
        <v>30</v>
      </c>
      <c r="E12" s="11">
        <f t="shared" si="1"/>
        <v>60</v>
      </c>
      <c r="F12">
        <f t="shared" si="2"/>
        <v>30</v>
      </c>
      <c r="G12">
        <f t="shared" si="0"/>
        <v>10</v>
      </c>
    </row>
    <row r="20" spans="1:8" x14ac:dyDescent="0.2">
      <c r="A20" s="9"/>
      <c r="B20" s="9"/>
      <c r="C20" s="9"/>
      <c r="D20" s="9"/>
      <c r="E20" s="9"/>
      <c r="F20" s="9"/>
      <c r="G20" s="9"/>
      <c r="H20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2026-03-12T21:40:55Z</dcterms:created>
  <dcterms:modified xsi:type="dcterms:W3CDTF">2026-06-22T15:58:34Z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